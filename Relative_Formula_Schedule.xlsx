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.New\"/>
    </mc:Choice>
  </mc:AlternateContent>
  <xr:revisionPtr revIDLastSave="0" documentId="13_ncr:1_{13A4C974-4FD0-4402-8E19-400CCFFB0FE9}" xr6:coauthVersionLast="47" xr6:coauthVersionMax="47" xr10:uidLastSave="{00000000-0000-0000-0000-000000000000}"/>
  <bookViews>
    <workbookView xWindow="-108" yWindow="-108" windowWidth="23256" windowHeight="12456" activeTab="1" xr2:uid="{28D2DFA4-CD69-4CFF-B91B-DE53F3736117}"/>
  </bookViews>
  <sheets>
    <sheet name="Project Macherla" sheetId="2" r:id="rId1"/>
    <sheet name="Project Sample (1)" sheetId="1" r:id="rId2"/>
  </sheets>
  <externalReferences>
    <externalReference r:id="rId3"/>
  </externalReferences>
  <definedNames>
    <definedName name="Actual" localSheetId="0">('Project Macherla'!PeriodInActual*('Project Macherla'!$H1&gt;0))*'Project Macherla'!PeriodInPlan</definedName>
    <definedName name="Actual">(PeriodInActual*('[1]Project H.Pet'!$H1&gt;0))*PeriodInPlan</definedName>
    <definedName name="ActualBeyond" localSheetId="0">'Project Macherla'!PeriodInActual*('Project Macherla'!$H1&gt;0)</definedName>
    <definedName name="ActualBeyond">PeriodInActual*('[1]Project H.Pet'!$H1&gt;0)</definedName>
    <definedName name="PercentComplete" localSheetId="0">'Project Macherla'!PercentCompleteBeyond*'Project Macherla'!PeriodInPlan</definedName>
    <definedName name="PercentComplete">PercentCompleteBeyond*PeriodInPlan</definedName>
    <definedName name="PercentCompleteBeyond" localSheetId="0">('Project Macherla'!A$4=MEDIAN('Project Macherla'!A$4,'Project Macherla'!$H1,'Project Macherla'!$H1+'Project Macherla'!$I1)*('Project Macherla'!$H1&gt;0))*(('Project Macherla'!A$4&lt;(INT('Project Macherla'!$H1+'Project Macherla'!$I1*'Project Macherla'!$K1)))+('Project Macherla'!A$4='Project Macherla'!$H1))*('Project Macherla'!$K1&gt;0)</definedName>
    <definedName name="PercentCompleteBeyond">('[1]Project H.Pet'!A$4=MEDIAN('[1]Project H.Pet'!A$4,'[1]Project H.Pet'!$H1,'[1]Project H.Pet'!$H1+'[1]Project H.Pet'!$I1)*('[1]Project H.Pet'!$H1&gt;0))*(('[1]Project H.Pet'!A$4&lt;(INT('[1]Project H.Pet'!$H1+'[1]Project H.Pet'!$I1*'[1]Project H.Pet'!$K1)))+('[1]Project H.Pet'!A$4='[1]Project H.Pet'!$H1))*('[1]Project H.Pet'!$K1&gt;0)</definedName>
    <definedName name="period_selected" localSheetId="0">'Project Macherla'!$L$2</definedName>
    <definedName name="period_selected">'[1]Project H.Pet'!$L$2</definedName>
    <definedName name="PeriodInActual" localSheetId="0">'Project Macherla'!A$4=MEDIAN('Project Macherla'!A$4,'Project Macherla'!$H1,'Project Macherla'!$H1+'Project Macherla'!$I1-1)</definedName>
    <definedName name="PeriodInActual">'[1]Project H.Pet'!A$4=MEDIAN('[1]Project H.Pet'!A$4,'[1]Project H.Pet'!$H1,'[1]Project H.Pet'!$H1+'[1]Project H.Pet'!$I1-1)</definedName>
    <definedName name="PeriodInPlan" localSheetId="0">'Project Macherla'!A$4=MEDIAN('Project Macherla'!A$4,'Project Macherla'!$E1,'Project Macherla'!$E1+'Project Macherla'!$F1-1)</definedName>
    <definedName name="PeriodInPlan">'[1]Project H.Pet'!A$4=MEDIAN('[1]Project H.Pet'!A$4,'[1]Project H.Pet'!$E1,'[1]Project H.Pet'!$E1+'[1]Project H.Pet'!$F1-1)</definedName>
    <definedName name="Plan" localSheetId="0">'Project Macherla'!PeriodInPlan*('Project Macherla'!$E1&gt;0)</definedName>
    <definedName name="Plan">PeriodInPlan*('[1]Project H.Pet'!$E1&gt;0)</definedName>
    <definedName name="_xlnm.Print_Titles" localSheetId="0">'Project Macherla'!$3:$4</definedName>
    <definedName name="TitleRegion..BO60" localSheetId="0">'Project Macherla'!$B$3:$B$4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2" l="1"/>
  <c r="C28" i="2"/>
  <c r="C26" i="2"/>
  <c r="C25" i="2"/>
  <c r="C24" i="2"/>
  <c r="C23" i="2"/>
  <c r="J22" i="2"/>
  <c r="G20" i="2"/>
  <c r="G19" i="2"/>
  <c r="G18" i="2"/>
  <c r="G17" i="2"/>
  <c r="G16" i="2"/>
  <c r="G15" i="2"/>
  <c r="G14" i="2"/>
  <c r="G13" i="2"/>
  <c r="G12" i="2"/>
  <c r="G11" i="2"/>
  <c r="G10" i="2"/>
  <c r="G9" i="2"/>
  <c r="E6" i="2"/>
  <c r="E7" i="2" s="1"/>
  <c r="G7" i="2" s="1"/>
  <c r="G6" i="2" l="1"/>
  <c r="E22" i="2" s="1"/>
  <c r="E23" i="2" l="1"/>
  <c r="G22" i="2"/>
  <c r="E53" i="2" l="1"/>
  <c r="E46" i="2"/>
  <c r="G46" i="2" s="1"/>
  <c r="E47" i="2" s="1"/>
  <c r="G47" i="2" s="1"/>
  <c r="E48" i="2" s="1"/>
  <c r="G48" i="2" s="1"/>
  <c r="E49" i="2" s="1"/>
  <c r="G49" i="2" s="1"/>
  <c r="E50" i="2" s="1"/>
  <c r="G50" i="2" s="1"/>
  <c r="E51" i="2" s="1"/>
  <c r="G51" i="2" s="1"/>
  <c r="E39" i="2"/>
  <c r="G39" i="2" s="1"/>
  <c r="E40" i="2" s="1"/>
  <c r="G40" i="2" s="1"/>
  <c r="E24" i="2"/>
  <c r="G23" i="2"/>
  <c r="G53" i="2" l="1"/>
  <c r="E54" i="2" s="1"/>
  <c r="G54" i="2" s="1"/>
  <c r="E55" i="2" s="1"/>
  <c r="G55" i="2" s="1"/>
  <c r="E56" i="2" s="1"/>
  <c r="G56" i="2" s="1"/>
  <c r="E57" i="2" s="1"/>
  <c r="G57" i="2" s="1"/>
  <c r="E58" i="2" s="1"/>
  <c r="G58" i="2" s="1"/>
  <c r="E60" i="2"/>
  <c r="G60" i="2" s="1"/>
  <c r="E61" i="2" s="1"/>
  <c r="G61" i="2" s="1"/>
  <c r="E62" i="2" s="1"/>
  <c r="G62" i="2" s="1"/>
  <c r="E41" i="2"/>
  <c r="G41" i="2" s="1"/>
  <c r="E42" i="2" s="1"/>
  <c r="G42" i="2" s="1"/>
  <c r="E44" i="2" s="1"/>
  <c r="G44" i="2" s="1"/>
  <c r="E43" i="2"/>
  <c r="G43" i="2" s="1"/>
  <c r="E30" i="2"/>
  <c r="G30" i="2" s="1"/>
  <c r="E29" i="2"/>
  <c r="G29" i="2" s="1"/>
  <c r="E31" i="2" s="1"/>
  <c r="G31" i="2" s="1"/>
  <c r="E25" i="2"/>
  <c r="G25" i="2" s="1"/>
  <c r="G24" i="2"/>
  <c r="E32" i="2" l="1"/>
  <c r="G32" i="2" s="1"/>
  <c r="E35" i="2"/>
  <c r="G35" i="2" s="1"/>
  <c r="E36" i="2" s="1"/>
  <c r="G36" i="2" s="1"/>
  <c r="E37" i="2" s="1"/>
  <c r="G37" i="2" s="1"/>
  <c r="E33" i="2"/>
  <c r="G33" i="2" s="1"/>
  <c r="E73" i="2"/>
  <c r="G73" i="2" s="1"/>
  <c r="E74" i="2" s="1"/>
  <c r="G74" i="2" s="1"/>
  <c r="E75" i="2" s="1"/>
  <c r="G75" i="2" s="1"/>
  <c r="E28" i="2"/>
  <c r="G28" i="2" s="1"/>
  <c r="E26" i="2"/>
  <c r="G26" i="2" s="1"/>
  <c r="E69" i="2"/>
  <c r="G69" i="2" s="1"/>
  <c r="E70" i="2" s="1"/>
  <c r="G70" i="2" s="1"/>
  <c r="E71" i="2" s="1"/>
  <c r="G71" i="2" s="1"/>
  <c r="E77" i="2" s="1"/>
  <c r="G77" i="2" s="1"/>
  <c r="E78" i="2" s="1"/>
  <c r="G78" i="2" s="1"/>
  <c r="E79" i="2" s="1"/>
  <c r="G79" i="2" s="1"/>
  <c r="E63" i="2"/>
  <c r="G63" i="2" s="1"/>
  <c r="E64" i="2" s="1"/>
  <c r="G64" i="2" s="1"/>
  <c r="E65" i="2" s="1"/>
  <c r="G65" i="2" s="1"/>
  <c r="E66" i="2" s="1"/>
  <c r="G66" i="2" s="1"/>
  <c r="E67" i="2" s="1"/>
  <c r="G67" i="2" s="1"/>
</calcChain>
</file>

<file path=xl/sharedStrings.xml><?xml version="1.0" encoding="utf-8"?>
<sst xmlns="http://schemas.openxmlformats.org/spreadsheetml/2006/main" count="683" uniqueCount="212">
  <si>
    <t xml:space="preserve"> ID</t>
  </si>
  <si>
    <t>Name</t>
  </si>
  <si>
    <t>Status</t>
  </si>
  <si>
    <t>Duration</t>
  </si>
  <si>
    <t>Baseline Duration</t>
  </si>
  <si>
    <t>Baseline Work</t>
  </si>
  <si>
    <t>Baseline Cost</t>
  </si>
  <si>
    <t>Schedule Start Date</t>
  </si>
  <si>
    <t>Baseline Start Date</t>
  </si>
  <si>
    <t>Schedule End Date</t>
  </si>
  <si>
    <t>Baseline Finish Date</t>
  </si>
  <si>
    <t>Actual Start Date</t>
  </si>
  <si>
    <t>Actual Finish Date</t>
  </si>
  <si>
    <t>Forecasted Finish Date</t>
  </si>
  <si>
    <t>Start Time</t>
  </si>
  <si>
    <t>Finish Time</t>
  </si>
  <si>
    <t>Actual Start Time</t>
  </si>
  <si>
    <t>Actual Finish Time</t>
  </si>
  <si>
    <t>Predecessors</t>
  </si>
  <si>
    <t>Resources</t>
  </si>
  <si>
    <t>Custom 1</t>
  </si>
  <si>
    <t>Custom 2</t>
  </si>
  <si>
    <t>Custom 3</t>
  </si>
  <si>
    <t>Custom 4</t>
  </si>
  <si>
    <t>Custom 5</t>
  </si>
  <si>
    <t>PRELIMINARY WORKS</t>
  </si>
  <si>
    <t>Not Started</t>
  </si>
  <si>
    <t>9days</t>
  </si>
  <si>
    <t>NA</t>
  </si>
  <si>
    <t>04/13/2026</t>
  </si>
  <si>
    <t>Site Leveling and Grading</t>
  </si>
  <si>
    <t>5days</t>
  </si>
  <si>
    <t>Construction of Boundary Wall</t>
  </si>
  <si>
    <t>6days</t>
  </si>
  <si>
    <t>2SS+3days</t>
  </si>
  <si>
    <t>PROCUREMENT - DELIVERY DATES</t>
  </si>
  <si>
    <t>81days</t>
  </si>
  <si>
    <t>05/30/2026</t>
  </si>
  <si>
    <t>PV Modules</t>
  </si>
  <si>
    <t>65days</t>
  </si>
  <si>
    <t>05/14/2026</t>
  </si>
  <si>
    <t>Inverters</t>
  </si>
  <si>
    <t>10days</t>
  </si>
  <si>
    <t>04/16/2026</t>
  </si>
  <si>
    <t>04/25/2026</t>
  </si>
  <si>
    <t>MMS Columns</t>
  </si>
  <si>
    <t>40days</t>
  </si>
  <si>
    <t>04/19/2026</t>
  </si>
  <si>
    <t>MMS Super Structure</t>
  </si>
  <si>
    <t>25days</t>
  </si>
  <si>
    <t>LT Panel</t>
  </si>
  <si>
    <t>30days</t>
  </si>
  <si>
    <t>05/15/2026</t>
  </si>
  <si>
    <t>IDT</t>
  </si>
  <si>
    <t>HT Panel</t>
  </si>
  <si>
    <t>45days</t>
  </si>
  <si>
    <t>DC Cables</t>
  </si>
  <si>
    <t>04/20/2026</t>
  </si>
  <si>
    <t>LT Cables</t>
  </si>
  <si>
    <t>HT Cables</t>
  </si>
  <si>
    <t>Aux System</t>
  </si>
  <si>
    <t>35days</t>
  </si>
  <si>
    <t>05/20/2026</t>
  </si>
  <si>
    <t>Earthing and Lightning Material</t>
  </si>
  <si>
    <t>MMS AND MODULE ERECTION WORKS</t>
  </si>
  <si>
    <t>51days</t>
  </si>
  <si>
    <t>Marking and Drilling</t>
  </si>
  <si>
    <t>Concreting and Column Erection</t>
  </si>
  <si>
    <t>04/21/2026</t>
  </si>
  <si>
    <t>04/30/2026</t>
  </si>
  <si>
    <t>18SS+1day,7FS+1day</t>
  </si>
  <si>
    <t>Structure Erection</t>
  </si>
  <si>
    <t>05/21/2026</t>
  </si>
  <si>
    <t>8FS+1day,19SS+5days</t>
  </si>
  <si>
    <t>Module Erection</t>
  </si>
  <si>
    <t>05/16/2026</t>
  </si>
  <si>
    <t>05/25/2026</t>
  </si>
  <si>
    <t>5FS+1day,20SS+1day</t>
  </si>
  <si>
    <t>Modules Alignment and Tightening</t>
  </si>
  <si>
    <t>05/26/2026</t>
  </si>
  <si>
    <t>DC WORKS</t>
  </si>
  <si>
    <t>28days</t>
  </si>
  <si>
    <t>05/28/2026</t>
  </si>
  <si>
    <t>Module Stringing</t>
  </si>
  <si>
    <t>2days</t>
  </si>
  <si>
    <t>05/27/2026</t>
  </si>
  <si>
    <t>21FS+1day</t>
  </si>
  <si>
    <t>Erection of Inverters</t>
  </si>
  <si>
    <t>19FS+1day,13</t>
  </si>
  <si>
    <t>Trench Excavation - AC/ DC Cable</t>
  </si>
  <si>
    <t>4days</t>
  </si>
  <si>
    <t>DC Cabling</t>
  </si>
  <si>
    <t>3days</t>
  </si>
  <si>
    <t>25FS+1day,12</t>
  </si>
  <si>
    <t>DC Terminations to Inverters</t>
  </si>
  <si>
    <t>27FS+1day</t>
  </si>
  <si>
    <t>DC Earthing Works</t>
  </si>
  <si>
    <t>26FS+1day</t>
  </si>
  <si>
    <t>INVERTER TO LT PANEL</t>
  </si>
  <si>
    <t>Laying of INV-LT Cables</t>
  </si>
  <si>
    <t>1day</t>
  </si>
  <si>
    <t>27FS+1day,13</t>
  </si>
  <si>
    <t>AC Terminations at Inverter</t>
  </si>
  <si>
    <t>31,28FF</t>
  </si>
  <si>
    <t>Inverter Earthing</t>
  </si>
  <si>
    <t>LT PANEL</t>
  </si>
  <si>
    <t>27days</t>
  </si>
  <si>
    <t>04/26/2026</t>
  </si>
  <si>
    <t>05/22/2026</t>
  </si>
  <si>
    <t>Foundation for LT Panel</t>
  </si>
  <si>
    <t>19SS+5days</t>
  </si>
  <si>
    <t>Erection of LT Panel</t>
  </si>
  <si>
    <t>35FS+1day,9</t>
  </si>
  <si>
    <t>INV- LT Cables Termination</t>
  </si>
  <si>
    <t>05/17/2026</t>
  </si>
  <si>
    <t>36,31</t>
  </si>
  <si>
    <t>Laying of Control and Communication Cables</t>
  </si>
  <si>
    <t>05/18/2026</t>
  </si>
  <si>
    <t>05/19/2026</t>
  </si>
  <si>
    <t>Aux System Installation</t>
  </si>
  <si>
    <t>15,36</t>
  </si>
  <si>
    <t>LT Panel Earthing</t>
  </si>
  <si>
    <t>LT PANEL TO TRANSFORMER</t>
  </si>
  <si>
    <t>Transformer Foundation</t>
  </si>
  <si>
    <t>Transformer Installation</t>
  </si>
  <si>
    <t>42FS+1day,10</t>
  </si>
  <si>
    <t>Cable Tray LT - IDT</t>
  </si>
  <si>
    <t>Cable Laying LT - IDT</t>
  </si>
  <si>
    <t>44,13</t>
  </si>
  <si>
    <t>Cable Terminations LT - IDT</t>
  </si>
  <si>
    <t>Transformer Earthing</t>
  </si>
  <si>
    <t>TRANSFORMER to HT PANEL</t>
  </si>
  <si>
    <t>HT Panel Foundation</t>
  </si>
  <si>
    <t>HT Panel Installation</t>
  </si>
  <si>
    <t>05/31/2026</t>
  </si>
  <si>
    <t>49FS+1day,11</t>
  </si>
  <si>
    <t>Cable Trench IDT - HT</t>
  </si>
  <si>
    <t>Cable Laying IDT - HT</t>
  </si>
  <si>
    <t>51,14</t>
  </si>
  <si>
    <t>Cable Terminations IDT - HT</t>
  </si>
  <si>
    <t>HT Yard Earthing</t>
  </si>
  <si>
    <t>HT PANEL TO EVACUATION</t>
  </si>
  <si>
    <t>34days</t>
  </si>
  <si>
    <t>04/27/2026</t>
  </si>
  <si>
    <t>DP Structure Erection</t>
  </si>
  <si>
    <t>04/28/2026</t>
  </si>
  <si>
    <t>49SS+1day</t>
  </si>
  <si>
    <t>Overhead Line Erection</t>
  </si>
  <si>
    <t>7days</t>
  </si>
  <si>
    <t>04/29/2026</t>
  </si>
  <si>
    <t>Bay at Substation</t>
  </si>
  <si>
    <t>20days</t>
  </si>
  <si>
    <t>HT Termination at Evacuation</t>
  </si>
  <si>
    <t>Metering System Installation</t>
  </si>
  <si>
    <t>Protection system Installation</t>
  </si>
  <si>
    <t>HT Testing</t>
  </si>
  <si>
    <t>05/29/2026</t>
  </si>
  <si>
    <t>Synchronization Readiness</t>
  </si>
  <si>
    <t>SCADA AND COMMUNICATION</t>
  </si>
  <si>
    <t>14days</t>
  </si>
  <si>
    <t>Weather Station Installation</t>
  </si>
  <si>
    <t>SCADA Installation</t>
  </si>
  <si>
    <t>Communication Integration</t>
  </si>
  <si>
    <t>EARTHING SYSTEM</t>
  </si>
  <si>
    <t>05/24/2026</t>
  </si>
  <si>
    <t>Earthing Grid Completion</t>
  </si>
  <si>
    <t>16,26</t>
  </si>
  <si>
    <t>Lightning Arrestor Installation</t>
  </si>
  <si>
    <t>05/23/2026</t>
  </si>
  <si>
    <t>Earth resistance testing</t>
  </si>
  <si>
    <t>TESTING AND COMMISSIONING</t>
  </si>
  <si>
    <t>8days</t>
  </si>
  <si>
    <t>06/16/2026</t>
  </si>
  <si>
    <t>Pre-commissioning checks</t>
  </si>
  <si>
    <t>System Integration Testing</t>
  </si>
  <si>
    <t>06/13/2026</t>
  </si>
  <si>
    <t>06/14/2026</t>
  </si>
  <si>
    <t>Final Commissioning</t>
  </si>
  <si>
    <t>06/15/2026</t>
  </si>
  <si>
    <t>Dakansy-Macherla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</si>
  <si>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</si>
  <si>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</si>
  <si>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</si>
  <si>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</si>
  <si>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</si>
  <si>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/>
        <rFont val="Calibri"/>
        <family val="2"/>
        <scheme val="min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</si>
  <si>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</si>
  <si>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S.NO.</t>
  </si>
  <si>
    <t>ACTIVITY</t>
  </si>
  <si>
    <t>QUANTITY</t>
  </si>
  <si>
    <t>UNIT</t>
  </si>
  <si>
    <t>PLANNED START</t>
  </si>
  <si>
    <t>PLANNED DURATION</t>
  </si>
  <si>
    <t>PLANNED FINISH</t>
  </si>
  <si>
    <t>ACTUAL START</t>
  </si>
  <si>
    <t>ACTUAL DURATION</t>
  </si>
  <si>
    <t>ACTUAL FINISH</t>
  </si>
  <si>
    <t>PERCENT COMPLETE</t>
  </si>
  <si>
    <t>PERIODS</t>
  </si>
  <si>
    <t>Acres</t>
  </si>
  <si>
    <t>Mtrs</t>
  </si>
  <si>
    <t>MWp</t>
  </si>
  <si>
    <t>Nos</t>
  </si>
  <si>
    <t>Tables</t>
  </si>
  <si>
    <t>No</t>
  </si>
  <si>
    <t>Lot</t>
  </si>
  <si>
    <t>Lots</t>
  </si>
  <si>
    <t>Sets</t>
  </si>
  <si>
    <t>MW</t>
  </si>
  <si>
    <t xml:space="preserve">5FS </t>
  </si>
  <si>
    <t>19FS+1day,6</t>
  </si>
  <si>
    <t>69,16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</si>
</sst>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b/>
      <sz val="42"/>
      <color theme="7"/>
      <name val="Calibri Light"/>
      <family val="2"/>
      <scheme val="major"/>
    </font>
    <font>
      <i/>
      <sz val="11"/>
      <color theme="7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sz val="12"/>
      <color theme="1" tint="0.24994659260841701"/>
      <name val="Calibri Light"/>
      <family val="2"/>
      <scheme val="major"/>
    </font>
    <font>
      <sz val="14"/>
      <color theme="1" tint="0.24994659260841701"/>
      <name val="Calibri"/>
      <family val="2"/>
      <scheme val="minor"/>
    </font>
    <font>
      <sz val="12"/>
      <color theme="1" tint="0.24994659260841701"/>
      <name val="Calibri"/>
      <family val="2"/>
    </font>
    <font>
      <b/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1" tint="0.24994659260841701"/>
      <name val="Calibri"/>
      <family val="2"/>
    </font>
    <font>
      <b/>
      <sz val="13"/>
      <color theme="7"/>
      <name val="Calibri Light"/>
      <family val="2"/>
      <scheme val="major"/>
    </font>
    <font>
      <b/>
      <sz val="13"/>
      <color theme="7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6337778862885"/>
        <bgColor indexed="64"/>
      </patternFill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/>
      </top>
      <bottom/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Protection="0">
      <alignment horizontal="center"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Alignment="0" applyProtection="0"/>
    <xf numFmtId="0" fontId="20" fillId="0" borderId="0" applyNumberFormat="0" applyFill="0" applyBorder="0" applyProtection="0">
      <alignment vertical="center"/>
    </xf>
    <xf numFmtId="0" fontId="21" fillId="33" borderId="10" applyNumberFormat="0" applyProtection="0">
      <alignment horizontal="left" vertical="center"/>
    </xf>
    <xf numFmtId="1" fontId="22" fillId="33" borderId="10">
      <alignment horizontal="center" vertical="center"/>
    </xf>
    <xf numFmtId="0" fontId="18" fillId="34" borderId="11" applyNumberFormat="0" applyFont="0" applyAlignment="0">
      <alignment horizontal="center"/>
    </xf>
    <xf numFmtId="0" fontId="23" fillId="0" borderId="0" applyNumberFormat="0" applyFill="0" applyBorder="0" applyProtection="0">
      <alignment horizontal="left" vertical="center"/>
    </xf>
    <xf numFmtId="0" fontId="18" fillId="35" borderId="14" applyNumberFormat="0" applyFont="0" applyAlignment="0">
      <alignment horizontal="center"/>
    </xf>
    <xf numFmtId="0" fontId="18" fillId="36" borderId="14" applyNumberFormat="0" applyFont="0" applyAlignment="0">
      <alignment horizontal="center"/>
    </xf>
    <xf numFmtId="0" fontId="18" fillId="37" borderId="14" applyNumberFormat="0" applyFont="0" applyAlignment="0">
      <alignment horizontal="center"/>
    </xf>
    <xf numFmtId="0" fontId="18" fillId="38" borderId="14" applyNumberFormat="0" applyFont="0" applyAlignment="0">
      <alignment horizontal="center"/>
    </xf>
    <xf numFmtId="0" fontId="25" fillId="0" borderId="0" applyFill="0" applyProtection="0">
      <alignment vertical="center"/>
    </xf>
    <xf numFmtId="0" fontId="25" fillId="0" borderId="0" applyFill="0" applyProtection="0">
      <alignment horizontal="center" vertical="center" wrapText="1"/>
    </xf>
    <xf numFmtId="0" fontId="25" fillId="0" borderId="0" applyFill="0" applyProtection="0">
      <alignment horizontal="left"/>
    </xf>
    <xf numFmtId="0" fontId="25" fillId="0" borderId="0" applyFill="0" applyBorder="0" applyProtection="0">
      <alignment horizontal="center" wrapText="1"/>
    </xf>
    <xf numFmtId="3" fontId="25" fillId="0" borderId="16" applyFill="0" applyProtection="0">
      <alignment horizontal="center"/>
    </xf>
    <xf numFmtId="0" fontId="26" fillId="0" borderId="0" applyFill="0" applyBorder="0" applyProtection="0">
      <alignment horizontal="left" wrapText="1"/>
    </xf>
    <xf numFmtId="9" fontId="28" fillId="0" borderId="0" applyFill="0" applyBorder="0" applyProtection="0">
      <alignment horizontal="center" vertical="center"/>
    </xf>
  </cellStyleXfs>
  <cellXfs count="49">
    <xf numFmtId="0" fontId="0" fillId="0" borderId="0" xfId="0"/>
    <xf numFmtId="14" fontId="0" fillId="0" borderId="0" xfId="0" applyNumberFormat="1"/>
    <xf numFmtId="18" fontId="0" fillId="0" borderId="0" xfId="0" applyNumberFormat="1"/>
    <xf numFmtId="0" fontId="18" fillId="0" borderId="0" xfId="42">
      <alignment horizontal="center" vertical="center"/>
    </xf>
    <xf numFmtId="0" fontId="19" fillId="0" borderId="0" xfId="43">
      <alignment vertical="center"/>
    </xf>
    <xf numFmtId="0" fontId="19" fillId="0" borderId="0" xfId="44" applyAlignment="1">
      <alignment horizontal="center"/>
    </xf>
    <xf numFmtId="0" fontId="18" fillId="0" borderId="0" xfId="42" applyAlignment="1">
      <alignment horizontal="center"/>
    </xf>
    <xf numFmtId="0" fontId="20" fillId="0" borderId="0" xfId="45">
      <alignment vertical="center"/>
    </xf>
    <xf numFmtId="0" fontId="21" fillId="33" borderId="10" xfId="46">
      <alignment horizontal="left" vertical="center"/>
    </xf>
    <xf numFmtId="1" fontId="22" fillId="33" borderId="10" xfId="47">
      <alignment horizontal="center" vertical="center"/>
    </xf>
    <xf numFmtId="0" fontId="0" fillId="34" borderId="11" xfId="48" applyFont="1" applyAlignment="1">
      <alignment horizontal="center"/>
    </xf>
    <xf numFmtId="0" fontId="0" fillId="35" borderId="14" xfId="50" applyFont="1" applyAlignment="1">
      <alignment horizontal="center"/>
    </xf>
    <xf numFmtId="0" fontId="0" fillId="36" borderId="14" xfId="51" applyFont="1" applyAlignment="1">
      <alignment horizontal="center"/>
    </xf>
    <xf numFmtId="0" fontId="0" fillId="37" borderId="14" xfId="52" applyFont="1" applyAlignment="1">
      <alignment horizontal="center"/>
    </xf>
    <xf numFmtId="0" fontId="0" fillId="38" borderId="14" xfId="53" applyFont="1" applyAlignment="1">
      <alignment horizontal="center"/>
    </xf>
    <xf numFmtId="0" fontId="25" fillId="0" borderId="0" xfId="54">
      <alignment vertical="center"/>
    </xf>
    <xf numFmtId="0" fontId="25" fillId="0" borderId="0" xfId="55">
      <alignment horizontal="center" vertical="center" wrapText="1"/>
    </xf>
    <xf numFmtId="0" fontId="25" fillId="0" borderId="0" xfId="56">
      <alignment horizontal="left"/>
    </xf>
    <xf numFmtId="0" fontId="25" fillId="0" borderId="0" xfId="57">
      <alignment horizontal="center" wrapText="1"/>
    </xf>
    <xf numFmtId="0" fontId="18" fillId="0" borderId="0" xfId="42" applyAlignment="1">
      <alignment horizontal="center" wrapText="1"/>
    </xf>
    <xf numFmtId="0" fontId="18" fillId="0" borderId="0" xfId="42" applyAlignment="1">
      <alignment vertical="center" wrapText="1"/>
    </xf>
    <xf numFmtId="0" fontId="25" fillId="0" borderId="16" xfId="54" applyBorder="1">
      <alignment vertical="center"/>
    </xf>
    <xf numFmtId="0" fontId="25" fillId="0" borderId="16" xfId="55" applyBorder="1">
      <alignment horizontal="center" vertical="center" wrapText="1"/>
    </xf>
    <xf numFmtId="16" fontId="25" fillId="0" borderId="16" xfId="58" applyNumberFormat="1" applyAlignment="1">
      <alignment horizontal="center" wrapText="1"/>
    </xf>
    <xf numFmtId="3" fontId="25" fillId="0" borderId="16" xfId="58">
      <alignment horizontal="center"/>
    </xf>
    <xf numFmtId="0" fontId="27" fillId="0" borderId="0" xfId="59" applyFont="1">
      <alignment horizontal="left" wrapText="1"/>
    </xf>
    <xf numFmtId="164" fontId="24" fillId="0" borderId="0" xfId="42" applyNumberFormat="1" applyFont="1" applyAlignment="1">
      <alignment horizontal="center"/>
    </xf>
    <xf numFmtId="0" fontId="24" fillId="0" borderId="0" xfId="42" applyFont="1" applyAlignment="1">
      <alignment horizontal="center"/>
    </xf>
    <xf numFmtId="9" fontId="29" fillId="0" borderId="0" xfId="60" applyFont="1">
      <alignment horizontal="center" vertical="center"/>
    </xf>
    <xf numFmtId="0" fontId="26" fillId="0" borderId="0" xfId="59" applyFill="1">
      <alignment horizontal="left" wrapText="1"/>
    </xf>
    <xf numFmtId="0" fontId="26" fillId="0" borderId="0" xfId="59">
      <alignment horizontal="left" wrapText="1"/>
    </xf>
    <xf numFmtId="0" fontId="27" fillId="0" borderId="0" xfId="59" applyFont="1" applyFill="1">
      <alignment horizontal="left" wrapText="1"/>
    </xf>
    <xf numFmtId="0" fontId="27" fillId="0" borderId="0" xfId="59" applyFont="1" applyBorder="1">
      <alignment horizontal="left" wrapText="1"/>
    </xf>
    <xf numFmtId="164" fontId="24" fillId="0" borderId="0" xfId="42" quotePrefix="1" applyNumberFormat="1" applyFont="1" applyAlignment="1">
      <alignment horizontal="center"/>
    </xf>
    <xf numFmtId="9" fontId="28" fillId="0" borderId="0" xfId="60">
      <alignment horizontal="center" vertical="center"/>
    </xf>
    <xf numFmtId="0" fontId="25" fillId="0" borderId="17" xfId="54" applyBorder="1" applyAlignment="1">
      <alignment horizontal="center" vertical="center"/>
    </xf>
    <xf numFmtId="0" fontId="25" fillId="0" borderId="0" xfId="55">
      <alignment horizontal="center" vertical="center" wrapText="1"/>
    </xf>
    <xf numFmtId="0" fontId="25" fillId="0" borderId="16" xfId="55" applyBorder="1">
      <alignment horizontal="center" vertical="center" wrapText="1"/>
    </xf>
    <xf numFmtId="0" fontId="25" fillId="0" borderId="15" xfId="55" applyBorder="1">
      <alignment horizontal="center" vertical="center" wrapText="1"/>
    </xf>
    <xf numFmtId="0" fontId="24" fillId="0" borderId="12" xfId="49" applyFont="1" applyBorder="1">
      <alignment horizontal="left" vertical="center"/>
    </xf>
    <xf numFmtId="0" fontId="24" fillId="0" borderId="0" xfId="49" applyFont="1">
      <alignment horizontal="left" vertical="center"/>
    </xf>
    <xf numFmtId="0" fontId="24" fillId="0" borderId="13" xfId="49" applyFont="1" applyBorder="1">
      <alignment horizontal="left" vertical="center"/>
    </xf>
    <xf numFmtId="0" fontId="24" fillId="0" borderId="0" xfId="49" applyFont="1" applyBorder="1">
      <alignment horizontal="left" vertical="center"/>
    </xf>
    <xf numFmtId="0" fontId="0" fillId="0" borderId="12" xfId="49" applyFont="1" applyBorder="1">
      <alignment horizontal="left" vertical="center"/>
    </xf>
    <xf numFmtId="0" fontId="0" fillId="0" borderId="0" xfId="49" applyFont="1" applyBorder="1">
      <alignment horizontal="left" vertical="center"/>
    </xf>
    <xf numFmtId="0" fontId="0" fillId="0" borderId="13" xfId="49" applyFont="1" applyBorder="1">
      <alignment horizontal="left" vertical="center"/>
    </xf>
    <xf numFmtId="0" fontId="25" fillId="0" borderId="0" xfId="54">
      <alignment vertical="center"/>
    </xf>
    <xf numFmtId="0" fontId="25" fillId="0" borderId="16" xfId="54" applyBorder="1">
      <alignment vertical="center"/>
    </xf>
    <xf numFmtId="0" fontId="0" fillId="39" borderId="0" xfId="0" applyFill="1"/>
  </cellXfs>
  <cellStyles count="61">
    <cellStyle name="% complete" xfId="51" xr:uid="{E368D46C-318E-4372-92F5-3D12CB475E7C}"/>
    <cellStyle name="% complete (beyond plan) legend" xfId="53" xr:uid="{1C8D7562-6DCA-44A7-8486-2079F649C4A8}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ctivity" xfId="59" xr:uid="{C624E86A-BD51-4C49-9658-F743BC209105}"/>
    <cellStyle name="Actual (beyond plan) legend" xfId="52" xr:uid="{19CD66D0-FAF0-450A-B395-DB09FF9B242E}"/>
    <cellStyle name="Actual legend" xfId="50" xr:uid="{53F13DDF-0154-4FD3-B24A-7F8814B30679}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Explanatory Text 2" xfId="45" xr:uid="{93DA05B3-0098-465F-832A-014F9AD54AAE}"/>
    <cellStyle name="Good" xfId="6" builtinId="26" customBuiltin="1"/>
    <cellStyle name="Heading 1" xfId="2" builtinId="16" customBuiltin="1"/>
    <cellStyle name="Heading 1 2" xfId="44" xr:uid="{8BF00B92-DA92-4B5A-85AF-13D6B5F0D13E}"/>
    <cellStyle name="Heading 2" xfId="3" builtinId="17" customBuiltin="1"/>
    <cellStyle name="Heading 2 2" xfId="54" xr:uid="{33CC8EBA-6FF8-4FCD-8C2E-839D71F80D64}"/>
    <cellStyle name="Heading 3" xfId="4" builtinId="18" customBuiltin="1"/>
    <cellStyle name="Heading 3 2" xfId="55" xr:uid="{3256CCE4-21D3-49B5-9850-6C7791A70204}"/>
    <cellStyle name="Heading 4" xfId="5" builtinId="19" customBuiltin="1"/>
    <cellStyle name="Heading 4 2" xfId="56" xr:uid="{8251C631-65F1-44F3-96AE-F8505E2A0BC0}"/>
    <cellStyle name="Input" xfId="9" builtinId="20" customBuiltin="1"/>
    <cellStyle name="Label" xfId="49" xr:uid="{1D9865F3-CF0C-41E1-B48E-A375210940F3}"/>
    <cellStyle name="Linked Cell" xfId="12" builtinId="24" customBuiltin="1"/>
    <cellStyle name="Neutral" xfId="8" builtinId="28" customBuiltin="1"/>
    <cellStyle name="Normal" xfId="0" builtinId="0"/>
    <cellStyle name="Normal 2" xfId="42" xr:uid="{796F9D13-FEE1-4747-A977-AED35B41DE9D}"/>
    <cellStyle name="Note" xfId="15" builtinId="10" customBuiltin="1"/>
    <cellStyle name="Output" xfId="10" builtinId="21" customBuiltin="1"/>
    <cellStyle name="Percent Complete" xfId="60" xr:uid="{8FA32820-F514-42BD-9436-32FAB8830E75}"/>
    <cellStyle name="Period Headers" xfId="58" xr:uid="{F8BE08CD-E485-4399-B9CC-228D8D5F8379}"/>
    <cellStyle name="Period Highlight Control" xfId="46" xr:uid="{3548A5B3-D441-490F-9133-B6C071923C65}"/>
    <cellStyle name="Period Value" xfId="47" xr:uid="{F5ADDCAF-FB31-4CCD-A499-15EF2F25F230}"/>
    <cellStyle name="Plan legend" xfId="48" xr:uid="{D39CF252-670B-4F7B-B9B1-F1608474FDF5}"/>
    <cellStyle name="Project Headers" xfId="57" xr:uid="{6C66F20A-FBCE-49DC-99C1-39C4D38A94B4}"/>
    <cellStyle name="Title" xfId="1" builtinId="15" customBuiltin="1"/>
    <cellStyle name="Title 2" xfId="43" xr:uid="{3CF13D24-DC2A-4161-8BF9-0678A739D7E4}"/>
    <cellStyle name="Total" xfId="17" builtinId="25" customBuiltin="1"/>
    <cellStyle name="Warning Text" xfId="14" builtinId="11" customBuiltin="1"/>
  </cellStyles>
  <dxfs count="9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.New\PROJECT%20DAKANSY\GANTT\Dakansy-Gantt%20project-Phase1.xlsx" TargetMode="External"/><Relationship Id="rId1" Type="http://schemas.openxmlformats.org/officeDocument/2006/relationships/externalLinkPath" Target="PROJECT%20DAKANSY/GANTT/Dakansy-Gantt%20project-Phas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LIST"/>
      <sheetName val="Project Macherla"/>
      <sheetName val="Project Mandoddi-1"/>
      <sheetName val="Project Mandoddi-2"/>
      <sheetName val="Project H.Pet"/>
      <sheetName val="Project H.Pet-2"/>
      <sheetName val="Project S.Pet"/>
      <sheetName val="Project Kalher"/>
      <sheetName val="Project Poosalapad"/>
      <sheetName val="Project Tadkal"/>
      <sheetName val="Project V.Pet"/>
      <sheetName val="Project Manoor-1"/>
      <sheetName val="Project Manoor-2"/>
      <sheetName val="Sheet1"/>
    </sheetNames>
    <sheetDataSet>
      <sheetData sheetId="0"/>
      <sheetData sheetId="1"/>
      <sheetData sheetId="2"/>
      <sheetData sheetId="3"/>
      <sheetData sheetId="4">
        <row r="2">
          <cell r="L2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>
            <v>76</v>
          </cell>
        </row>
        <row r="4">
          <cell r="C4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E2BD-E16E-40BF-B744-20A6F7A5ABD2}">
  <sheetPr>
    <tabColor theme="7"/>
    <pageSetUpPr fitToPage="1"/>
  </sheetPr>
  <dimension ref="A1:BV79"/>
  <sheetViews>
    <sheetView showGridLines="0" topLeftCell="A60" zoomScale="64" zoomScaleNormal="70" zoomScaleSheetLayoutView="80" workbookViewId="0">
      <selection activeCell="E79" sqref="E79"/>
    </sheetView>
  </sheetViews>
  <sheetFormatPr defaultColWidth="2.77734375" defaultRowHeight="30" customHeight="1" x14ac:dyDescent="0.35"/>
  <cols>
    <col min="1" max="1" width="5.77734375" style="3" bestFit="1" customWidth="1"/>
    <col min="2" max="2" width="49.21875" style="30" customWidth="1"/>
    <col min="3" max="4" width="13" style="30" customWidth="1"/>
    <col min="5" max="5" width="16" style="6" bestFit="1" customWidth="1"/>
    <col min="6" max="6" width="11.6640625" style="6" customWidth="1"/>
    <col min="7" max="8" width="16" style="6" bestFit="1" customWidth="1"/>
    <col min="9" max="9" width="11.6640625" style="6" customWidth="1"/>
    <col min="10" max="10" width="16" style="6" bestFit="1" customWidth="1"/>
    <col min="11" max="11" width="15.6640625" style="34" customWidth="1"/>
    <col min="12" max="12" width="8.77734375" style="6" bestFit="1" customWidth="1"/>
    <col min="13" max="31" width="6.88671875" style="6" bestFit="1" customWidth="1"/>
    <col min="32" max="37" width="6.88671875" style="3" bestFit="1" customWidth="1"/>
    <col min="38" max="68" width="7.77734375" style="3" bestFit="1" customWidth="1"/>
    <col min="69" max="74" width="6.6640625" style="3" bestFit="1" customWidth="1"/>
    <col min="75" max="16384" width="2.77734375" style="3"/>
  </cols>
  <sheetData>
    <row r="1" spans="1:74" ht="60" customHeight="1" thickBot="1" x14ac:dyDescent="1.05">
      <c r="B1" s="4" t="s">
        <v>179</v>
      </c>
      <c r="C1" s="4"/>
      <c r="D1" s="4"/>
      <c r="E1" s="5"/>
      <c r="F1" s="5"/>
      <c r="G1" s="5"/>
      <c r="H1" s="5"/>
      <c r="I1" s="5"/>
      <c r="J1" s="5"/>
      <c r="K1" s="5"/>
    </row>
    <row r="2" spans="1:74" ht="21" customHeight="1" thickTop="1" thickBot="1" x14ac:dyDescent="0.35">
      <c r="B2" s="7" t="s">
        <v>180</v>
      </c>
      <c r="C2" s="7"/>
      <c r="D2" s="7"/>
      <c r="E2" s="7"/>
      <c r="F2" s="7"/>
      <c r="G2" s="7"/>
      <c r="H2" s="7"/>
      <c r="I2" s="7"/>
      <c r="J2" s="7"/>
      <c r="K2" s="8" t="s">
        <v>181</v>
      </c>
      <c r="L2" s="9">
        <v>1</v>
      </c>
      <c r="N2" s="10"/>
      <c r="O2" s="39" t="s">
        <v>182</v>
      </c>
      <c r="P2" s="40"/>
      <c r="Q2" s="40"/>
      <c r="R2" s="40"/>
      <c r="S2" s="41"/>
      <c r="T2" s="11"/>
      <c r="U2" s="39" t="s">
        <v>183</v>
      </c>
      <c r="V2" s="42"/>
      <c r="W2" s="42"/>
      <c r="X2" s="41"/>
      <c r="Y2" s="12"/>
      <c r="Z2" s="43" t="s">
        <v>184</v>
      </c>
      <c r="AA2" s="44"/>
      <c r="AB2" s="44"/>
      <c r="AC2" s="45"/>
      <c r="AD2" s="13"/>
      <c r="AE2" s="43" t="s">
        <v>185</v>
      </c>
      <c r="AF2" s="44"/>
      <c r="AG2" s="44"/>
      <c r="AH2" s="44"/>
      <c r="AI2" s="44"/>
      <c r="AJ2" s="44"/>
      <c r="AK2" s="45"/>
      <c r="AL2" s="14"/>
      <c r="AM2" s="43" t="s">
        <v>186</v>
      </c>
      <c r="AN2" s="44"/>
      <c r="AO2" s="44"/>
      <c r="AP2" s="44"/>
      <c r="AQ2" s="44"/>
      <c r="AR2" s="44"/>
      <c r="AS2" s="44"/>
      <c r="AT2" s="44"/>
    </row>
    <row r="3" spans="1:74" s="20" customFormat="1" ht="39.9" customHeight="1" thickTop="1" x14ac:dyDescent="0.3">
      <c r="A3" s="46" t="s">
        <v>187</v>
      </c>
      <c r="B3" s="46" t="s">
        <v>188</v>
      </c>
      <c r="C3" s="15" t="s">
        <v>189</v>
      </c>
      <c r="D3" s="15" t="s">
        <v>190</v>
      </c>
      <c r="E3" s="36" t="s">
        <v>191</v>
      </c>
      <c r="F3" s="36" t="s">
        <v>192</v>
      </c>
      <c r="G3" s="16" t="s">
        <v>193</v>
      </c>
      <c r="H3" s="36" t="s">
        <v>194</v>
      </c>
      <c r="I3" s="36" t="s">
        <v>195</v>
      </c>
      <c r="J3" s="16" t="s">
        <v>196</v>
      </c>
      <c r="K3" s="38" t="s">
        <v>197</v>
      </c>
      <c r="L3" s="17" t="s">
        <v>198</v>
      </c>
      <c r="M3" s="18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74" ht="21.6" customHeight="1" x14ac:dyDescent="0.3">
      <c r="A4" s="47"/>
      <c r="B4" s="47"/>
      <c r="C4" s="21"/>
      <c r="D4" s="21"/>
      <c r="E4" s="37"/>
      <c r="F4" s="37"/>
      <c r="G4" s="22"/>
      <c r="H4" s="37"/>
      <c r="I4" s="37"/>
      <c r="J4" s="22"/>
      <c r="K4" s="37"/>
      <c r="L4" s="23">
        <v>46117</v>
      </c>
      <c r="M4" s="23">
        <v>46118</v>
      </c>
      <c r="N4" s="23">
        <v>46119</v>
      </c>
      <c r="O4" s="23">
        <v>46120</v>
      </c>
      <c r="P4" s="23">
        <v>46121</v>
      </c>
      <c r="Q4" s="23">
        <v>46122</v>
      </c>
      <c r="R4" s="23">
        <v>46123</v>
      </c>
      <c r="S4" s="23">
        <v>46124</v>
      </c>
      <c r="T4" s="23">
        <v>46125</v>
      </c>
      <c r="U4" s="23">
        <v>46126</v>
      </c>
      <c r="V4" s="23">
        <v>46127</v>
      </c>
      <c r="W4" s="23">
        <v>46128</v>
      </c>
      <c r="X4" s="23">
        <v>46129</v>
      </c>
      <c r="Y4" s="23">
        <v>46130</v>
      </c>
      <c r="Z4" s="23">
        <v>46131</v>
      </c>
      <c r="AA4" s="23">
        <v>46132</v>
      </c>
      <c r="AB4" s="23">
        <v>46133</v>
      </c>
      <c r="AC4" s="23">
        <v>46134</v>
      </c>
      <c r="AD4" s="23">
        <v>46135</v>
      </c>
      <c r="AE4" s="23">
        <v>46136</v>
      </c>
      <c r="AF4" s="23">
        <v>46137</v>
      </c>
      <c r="AG4" s="23">
        <v>46138</v>
      </c>
      <c r="AH4" s="23">
        <v>46139</v>
      </c>
      <c r="AI4" s="23">
        <v>46140</v>
      </c>
      <c r="AJ4" s="23">
        <v>46141</v>
      </c>
      <c r="AK4" s="23">
        <v>46142</v>
      </c>
      <c r="AL4" s="23">
        <v>46143</v>
      </c>
      <c r="AM4" s="23">
        <v>46144</v>
      </c>
      <c r="AN4" s="23">
        <v>46145</v>
      </c>
      <c r="AO4" s="23">
        <v>46146</v>
      </c>
      <c r="AP4" s="23">
        <v>46147</v>
      </c>
      <c r="AQ4" s="23">
        <v>46148</v>
      </c>
      <c r="AR4" s="23">
        <v>46149</v>
      </c>
      <c r="AS4" s="23">
        <v>46150</v>
      </c>
      <c r="AT4" s="23">
        <v>46151</v>
      </c>
      <c r="AU4" s="23">
        <v>46152</v>
      </c>
      <c r="AV4" s="23">
        <v>46153</v>
      </c>
      <c r="AW4" s="23">
        <v>46154</v>
      </c>
      <c r="AX4" s="23">
        <v>46155</v>
      </c>
      <c r="AY4" s="23">
        <v>46156</v>
      </c>
      <c r="AZ4" s="23">
        <v>46157</v>
      </c>
      <c r="BA4" s="23">
        <v>46158</v>
      </c>
      <c r="BB4" s="23">
        <v>46159</v>
      </c>
      <c r="BC4" s="23">
        <v>46160</v>
      </c>
      <c r="BD4" s="23">
        <v>46161</v>
      </c>
      <c r="BE4" s="23">
        <v>46162</v>
      </c>
      <c r="BF4" s="23">
        <v>46163</v>
      </c>
      <c r="BG4" s="23">
        <v>46164</v>
      </c>
      <c r="BH4" s="23">
        <v>46165</v>
      </c>
      <c r="BI4" s="23">
        <v>46166</v>
      </c>
      <c r="BJ4" s="23">
        <v>46167</v>
      </c>
      <c r="BK4" s="23">
        <v>46168</v>
      </c>
      <c r="BL4" s="23">
        <v>46169</v>
      </c>
      <c r="BM4" s="23">
        <v>46170</v>
      </c>
      <c r="BN4" s="23">
        <v>46171</v>
      </c>
      <c r="BO4" s="23">
        <v>46172</v>
      </c>
      <c r="BP4" s="23">
        <v>46173</v>
      </c>
      <c r="BQ4" s="23">
        <v>46174</v>
      </c>
      <c r="BR4" s="23">
        <v>46175</v>
      </c>
      <c r="BS4" s="23">
        <v>46176</v>
      </c>
      <c r="BT4" s="23">
        <v>46177</v>
      </c>
      <c r="BU4" s="23">
        <v>46178</v>
      </c>
      <c r="BV4" s="23">
        <v>46179</v>
      </c>
    </row>
    <row r="5" spans="1:74" ht="15.6" customHeight="1" x14ac:dyDescent="0.3">
      <c r="B5" s="35" t="s">
        <v>25</v>
      </c>
      <c r="C5" s="35"/>
      <c r="D5" s="35"/>
      <c r="E5" s="35"/>
      <c r="F5" s="35"/>
      <c r="G5" s="35"/>
      <c r="H5" s="35"/>
      <c r="I5" s="35"/>
      <c r="J5" s="35"/>
      <c r="K5" s="35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</row>
    <row r="6" spans="1:74" ht="30" customHeight="1" x14ac:dyDescent="0.35">
      <c r="A6" s="3">
        <v>1</v>
      </c>
      <c r="B6" s="25" t="s">
        <v>30</v>
      </c>
      <c r="C6" s="25">
        <v>8</v>
      </c>
      <c r="D6" s="25" t="s">
        <v>199</v>
      </c>
      <c r="E6" s="26">
        <f>L4</f>
        <v>46117</v>
      </c>
      <c r="F6" s="27">
        <v>5</v>
      </c>
      <c r="G6" s="26">
        <f>E6+F6</f>
        <v>46122</v>
      </c>
      <c r="H6" s="26"/>
      <c r="I6" s="27"/>
      <c r="J6" s="26"/>
      <c r="K6" s="28"/>
    </row>
    <row r="7" spans="1:74" ht="30" customHeight="1" x14ac:dyDescent="0.35">
      <c r="A7" s="3">
        <v>2</v>
      </c>
      <c r="B7" s="25" t="s">
        <v>32</v>
      </c>
      <c r="C7" s="25">
        <v>1000</v>
      </c>
      <c r="D7" s="25" t="s">
        <v>200</v>
      </c>
      <c r="E7" s="26">
        <f>E6+3</f>
        <v>46120</v>
      </c>
      <c r="F7" s="27">
        <v>6</v>
      </c>
      <c r="G7" s="26">
        <f>E7+F7</f>
        <v>46126</v>
      </c>
      <c r="H7" s="26"/>
      <c r="I7" s="27"/>
      <c r="J7" s="26"/>
      <c r="K7" s="28"/>
    </row>
    <row r="8" spans="1:74" ht="30" customHeight="1" x14ac:dyDescent="0.3">
      <c r="A8" s="3">
        <v>3</v>
      </c>
      <c r="B8" s="35" t="s">
        <v>35</v>
      </c>
      <c r="C8" s="35"/>
      <c r="D8" s="35"/>
      <c r="E8" s="35"/>
      <c r="F8" s="35"/>
      <c r="G8" s="35"/>
      <c r="H8" s="35"/>
      <c r="I8" s="35"/>
      <c r="J8" s="35"/>
      <c r="K8" s="35"/>
    </row>
    <row r="9" spans="1:74" ht="30" customHeight="1" x14ac:dyDescent="0.35">
      <c r="A9" s="3">
        <v>4</v>
      </c>
      <c r="B9" s="29" t="s">
        <v>38</v>
      </c>
      <c r="C9" s="30">
        <v>2.4</v>
      </c>
      <c r="D9" s="30" t="s">
        <v>201</v>
      </c>
      <c r="E9" s="26">
        <v>46091</v>
      </c>
      <c r="F9" s="27">
        <v>65</v>
      </c>
      <c r="G9" s="26">
        <f>E9+F9</f>
        <v>46156</v>
      </c>
      <c r="H9" s="26"/>
      <c r="I9" s="27"/>
      <c r="J9" s="26"/>
      <c r="K9" s="28"/>
    </row>
    <row r="10" spans="1:74" ht="30" customHeight="1" x14ac:dyDescent="0.35">
      <c r="A10" s="3">
        <v>5</v>
      </c>
      <c r="B10" s="29" t="s">
        <v>41</v>
      </c>
      <c r="C10" s="25">
        <v>8</v>
      </c>
      <c r="D10" s="25" t="s">
        <v>202</v>
      </c>
      <c r="E10" s="26">
        <v>46127</v>
      </c>
      <c r="F10" s="27">
        <v>10</v>
      </c>
      <c r="G10" s="26">
        <f t="shared" ref="G10:G20" si="0">E10+F10</f>
        <v>46137</v>
      </c>
      <c r="H10" s="26"/>
      <c r="I10" s="27"/>
      <c r="J10" s="26"/>
      <c r="K10" s="28"/>
    </row>
    <row r="11" spans="1:74" ht="30" customHeight="1" x14ac:dyDescent="0.35">
      <c r="B11" s="29" t="s">
        <v>45</v>
      </c>
      <c r="C11" s="25">
        <v>880</v>
      </c>
      <c r="D11" s="25" t="s">
        <v>202</v>
      </c>
      <c r="E11" s="26">
        <v>46091</v>
      </c>
      <c r="F11" s="27">
        <v>40</v>
      </c>
      <c r="G11" s="26">
        <f t="shared" si="0"/>
        <v>46131</v>
      </c>
      <c r="H11" s="26"/>
      <c r="I11" s="27"/>
      <c r="J11" s="26"/>
      <c r="K11" s="28"/>
    </row>
    <row r="12" spans="1:74" ht="30" customHeight="1" x14ac:dyDescent="0.35">
      <c r="B12" s="29" t="s">
        <v>48</v>
      </c>
      <c r="C12" s="25">
        <v>76</v>
      </c>
      <c r="D12" s="25" t="s">
        <v>203</v>
      </c>
      <c r="E12" s="26">
        <v>46127</v>
      </c>
      <c r="F12" s="27">
        <v>25</v>
      </c>
      <c r="G12" s="26">
        <f t="shared" si="0"/>
        <v>46152</v>
      </c>
      <c r="H12" s="26"/>
      <c r="I12" s="27"/>
      <c r="J12" s="26"/>
      <c r="K12" s="28"/>
    </row>
    <row r="13" spans="1:74" ht="30" customHeight="1" x14ac:dyDescent="0.35">
      <c r="A13" s="3">
        <v>6</v>
      </c>
      <c r="B13" s="31" t="s">
        <v>50</v>
      </c>
      <c r="C13" s="25">
        <v>1</v>
      </c>
      <c r="D13" s="25" t="s">
        <v>204</v>
      </c>
      <c r="E13" s="26">
        <v>46127</v>
      </c>
      <c r="F13" s="27">
        <v>30</v>
      </c>
      <c r="G13" s="26">
        <f t="shared" si="0"/>
        <v>46157</v>
      </c>
      <c r="H13" s="26"/>
      <c r="I13" s="27"/>
      <c r="J13" s="26"/>
      <c r="K13" s="28"/>
    </row>
    <row r="14" spans="1:74" ht="30" customHeight="1" x14ac:dyDescent="0.35">
      <c r="A14" s="3">
        <v>7</v>
      </c>
      <c r="B14" s="31" t="s">
        <v>53</v>
      </c>
      <c r="C14" s="25">
        <v>1</v>
      </c>
      <c r="D14" s="25" t="s">
        <v>204</v>
      </c>
      <c r="E14" s="26">
        <v>46127</v>
      </c>
      <c r="F14" s="27">
        <v>30</v>
      </c>
      <c r="G14" s="26">
        <f t="shared" si="0"/>
        <v>46157</v>
      </c>
      <c r="H14" s="26"/>
      <c r="I14" s="27"/>
      <c r="J14" s="26"/>
      <c r="K14" s="28"/>
    </row>
    <row r="15" spans="1:74" ht="30" customHeight="1" x14ac:dyDescent="0.35">
      <c r="A15" s="3">
        <v>8</v>
      </c>
      <c r="B15" s="31" t="s">
        <v>54</v>
      </c>
      <c r="C15" s="25">
        <v>1</v>
      </c>
      <c r="D15" s="25" t="s">
        <v>204</v>
      </c>
      <c r="E15" s="26">
        <v>46127</v>
      </c>
      <c r="F15" s="27">
        <v>45</v>
      </c>
      <c r="G15" s="26">
        <f t="shared" si="0"/>
        <v>46172</v>
      </c>
      <c r="H15" s="26"/>
      <c r="I15" s="27"/>
      <c r="J15" s="26"/>
      <c r="K15" s="28"/>
    </row>
    <row r="16" spans="1:74" ht="30" customHeight="1" x14ac:dyDescent="0.35">
      <c r="A16" s="3">
        <v>9</v>
      </c>
      <c r="B16" s="31" t="s">
        <v>56</v>
      </c>
      <c r="C16" s="25">
        <v>1</v>
      </c>
      <c r="D16" s="25" t="s">
        <v>205</v>
      </c>
      <c r="E16" s="26">
        <v>46127</v>
      </c>
      <c r="F16" s="27">
        <v>5</v>
      </c>
      <c r="G16" s="26">
        <f t="shared" si="0"/>
        <v>46132</v>
      </c>
      <c r="H16" s="26"/>
      <c r="I16" s="27"/>
      <c r="J16" s="26"/>
      <c r="K16" s="28"/>
    </row>
    <row r="17" spans="1:11" ht="30" customHeight="1" x14ac:dyDescent="0.35">
      <c r="A17" s="3">
        <v>10</v>
      </c>
      <c r="B17" s="31" t="s">
        <v>58</v>
      </c>
      <c r="C17" s="25">
        <v>1</v>
      </c>
      <c r="D17" s="25" t="s">
        <v>205</v>
      </c>
      <c r="E17" s="26">
        <v>46127</v>
      </c>
      <c r="F17" s="27">
        <v>5</v>
      </c>
      <c r="G17" s="26">
        <f t="shared" si="0"/>
        <v>46132</v>
      </c>
      <c r="H17" s="26"/>
      <c r="I17" s="27"/>
      <c r="J17" s="26"/>
      <c r="K17" s="28"/>
    </row>
    <row r="18" spans="1:11" ht="30" customHeight="1" x14ac:dyDescent="0.35">
      <c r="A18" s="3">
        <v>11</v>
      </c>
      <c r="B18" s="31" t="s">
        <v>59</v>
      </c>
      <c r="C18" s="25">
        <v>1</v>
      </c>
      <c r="D18" s="25" t="s">
        <v>205</v>
      </c>
      <c r="E18" s="26">
        <v>46127</v>
      </c>
      <c r="F18" s="27">
        <v>5</v>
      </c>
      <c r="G18" s="26">
        <f t="shared" si="0"/>
        <v>46132</v>
      </c>
      <c r="H18" s="26"/>
      <c r="I18" s="27"/>
      <c r="J18" s="26"/>
      <c r="K18" s="28"/>
    </row>
    <row r="19" spans="1:11" ht="30" customHeight="1" x14ac:dyDescent="0.35">
      <c r="A19" s="3">
        <v>12</v>
      </c>
      <c r="B19" s="31" t="s">
        <v>60</v>
      </c>
      <c r="C19" s="25">
        <v>1</v>
      </c>
      <c r="D19" s="25" t="s">
        <v>205</v>
      </c>
      <c r="E19" s="26">
        <v>46127</v>
      </c>
      <c r="F19" s="27">
        <v>35</v>
      </c>
      <c r="G19" s="26">
        <f t="shared" si="0"/>
        <v>46162</v>
      </c>
      <c r="H19" s="26"/>
      <c r="I19" s="27"/>
      <c r="J19" s="26"/>
      <c r="K19" s="28"/>
    </row>
    <row r="20" spans="1:11" ht="30" customHeight="1" x14ac:dyDescent="0.35">
      <c r="A20" s="3">
        <v>13</v>
      </c>
      <c r="B20" s="25" t="s">
        <v>63</v>
      </c>
      <c r="C20" s="25">
        <v>1</v>
      </c>
      <c r="D20" s="25" t="s">
        <v>205</v>
      </c>
      <c r="E20" s="26">
        <v>46127</v>
      </c>
      <c r="F20" s="27">
        <v>30</v>
      </c>
      <c r="G20" s="26">
        <f t="shared" si="0"/>
        <v>46157</v>
      </c>
      <c r="H20" s="26"/>
      <c r="I20" s="27"/>
      <c r="J20" s="26"/>
      <c r="K20" s="28"/>
    </row>
    <row r="21" spans="1:11" ht="30" customHeight="1" x14ac:dyDescent="0.3">
      <c r="A21" s="3">
        <v>14</v>
      </c>
      <c r="B21" s="35" t="s">
        <v>64</v>
      </c>
      <c r="C21" s="35"/>
      <c r="D21" s="35"/>
      <c r="E21" s="35"/>
      <c r="F21" s="35"/>
      <c r="G21" s="35"/>
      <c r="H21" s="35"/>
      <c r="I21" s="35"/>
      <c r="J21" s="35"/>
      <c r="K21" s="35"/>
    </row>
    <row r="22" spans="1:11" ht="30" customHeight="1" x14ac:dyDescent="0.35">
      <c r="A22" s="3">
        <v>15</v>
      </c>
      <c r="B22" s="25" t="s">
        <v>66</v>
      </c>
      <c r="C22" s="25">
        <v>880</v>
      </c>
      <c r="D22" s="25" t="s">
        <v>202</v>
      </c>
      <c r="E22" s="26">
        <f>G6</f>
        <v>46122</v>
      </c>
      <c r="F22" s="27">
        <v>10</v>
      </c>
      <c r="G22" s="26">
        <f>E22+F22</f>
        <v>46132</v>
      </c>
      <c r="H22" s="26">
        <v>46125</v>
      </c>
      <c r="I22" s="27">
        <v>9</v>
      </c>
      <c r="J22" s="26">
        <f>H22+I22</f>
        <v>46134</v>
      </c>
      <c r="K22" s="28"/>
    </row>
    <row r="23" spans="1:11" ht="30" customHeight="1" x14ac:dyDescent="0.35">
      <c r="A23" s="3">
        <v>16</v>
      </c>
      <c r="B23" s="25" t="s">
        <v>67</v>
      </c>
      <c r="C23" s="25">
        <f>C22</f>
        <v>880</v>
      </c>
      <c r="D23" s="25" t="s">
        <v>202</v>
      </c>
      <c r="E23" s="26">
        <f>MAX((E22+1),(G11+1))</f>
        <v>46132</v>
      </c>
      <c r="F23" s="27">
        <v>10</v>
      </c>
      <c r="G23" s="26">
        <f t="shared" ref="G23:G26" si="1">E23+F23</f>
        <v>46142</v>
      </c>
      <c r="H23" s="26"/>
      <c r="I23" s="27"/>
      <c r="J23" s="26"/>
      <c r="K23" s="28"/>
    </row>
    <row r="24" spans="1:11" ht="30" customHeight="1" x14ac:dyDescent="0.35">
      <c r="A24" s="3">
        <v>17</v>
      </c>
      <c r="B24" s="25" t="s">
        <v>71</v>
      </c>
      <c r="C24" s="25">
        <f>[1]Sheet1!$C$3</f>
        <v>76</v>
      </c>
      <c r="D24" s="25" t="s">
        <v>203</v>
      </c>
      <c r="E24" s="26">
        <f>MAX(E23+5,G12+1)</f>
        <v>46153</v>
      </c>
      <c r="F24" s="27">
        <v>10</v>
      </c>
      <c r="G24" s="26">
        <f t="shared" si="1"/>
        <v>46163</v>
      </c>
      <c r="H24" s="26"/>
      <c r="I24" s="27"/>
      <c r="J24" s="26"/>
      <c r="K24" s="28"/>
    </row>
    <row r="25" spans="1:11" ht="30" customHeight="1" x14ac:dyDescent="0.35">
      <c r="A25" s="3">
        <v>19</v>
      </c>
      <c r="B25" s="32" t="s">
        <v>74</v>
      </c>
      <c r="C25" s="25">
        <f>[1]Sheet1!$C$3</f>
        <v>76</v>
      </c>
      <c r="D25" s="25" t="s">
        <v>203</v>
      </c>
      <c r="E25" s="26">
        <f>MAX(E24+1,G9)</f>
        <v>46156</v>
      </c>
      <c r="F25" s="27">
        <v>10</v>
      </c>
      <c r="G25" s="26">
        <f t="shared" si="1"/>
        <v>46166</v>
      </c>
      <c r="H25" s="26"/>
      <c r="I25" s="27"/>
      <c r="J25" s="26"/>
      <c r="K25" s="28"/>
    </row>
    <row r="26" spans="1:11" ht="30" customHeight="1" x14ac:dyDescent="0.35">
      <c r="A26" s="3">
        <v>20</v>
      </c>
      <c r="B26" s="25" t="s">
        <v>78</v>
      </c>
      <c r="C26" s="25">
        <f>[1]Sheet1!$C$3</f>
        <v>76</v>
      </c>
      <c r="D26" s="25" t="s">
        <v>203</v>
      </c>
      <c r="E26" s="26">
        <f>G25</f>
        <v>46166</v>
      </c>
      <c r="F26" s="27">
        <v>5</v>
      </c>
      <c r="G26" s="26">
        <f t="shared" si="1"/>
        <v>46171</v>
      </c>
      <c r="H26" s="26"/>
      <c r="I26" s="27"/>
      <c r="J26" s="26"/>
      <c r="K26" s="28"/>
    </row>
    <row r="27" spans="1:11" ht="30" customHeight="1" x14ac:dyDescent="0.3">
      <c r="A27" s="3">
        <v>21</v>
      </c>
      <c r="B27" s="35" t="s">
        <v>80</v>
      </c>
      <c r="C27" s="35"/>
      <c r="D27" s="35"/>
      <c r="E27" s="35"/>
      <c r="F27" s="35"/>
      <c r="G27" s="35"/>
      <c r="H27" s="35"/>
      <c r="I27" s="35"/>
      <c r="J27" s="35"/>
      <c r="K27" s="35"/>
    </row>
    <row r="28" spans="1:11" ht="30" customHeight="1" x14ac:dyDescent="0.35">
      <c r="A28" s="3">
        <v>22</v>
      </c>
      <c r="B28" s="25" t="s">
        <v>83</v>
      </c>
      <c r="C28" s="25">
        <f>[1]Sheet1!$C$3</f>
        <v>76</v>
      </c>
      <c r="D28" s="25" t="s">
        <v>203</v>
      </c>
      <c r="E28" s="26">
        <f>G25+1</f>
        <v>46167</v>
      </c>
      <c r="F28" s="27">
        <v>2</v>
      </c>
      <c r="G28" s="26">
        <f>E28+F28</f>
        <v>46169</v>
      </c>
      <c r="H28" s="26"/>
      <c r="I28" s="27"/>
      <c r="J28" s="26"/>
      <c r="K28" s="28"/>
    </row>
    <row r="29" spans="1:11" ht="30" customHeight="1" x14ac:dyDescent="0.35">
      <c r="A29" s="3">
        <v>23</v>
      </c>
      <c r="B29" s="25" t="s">
        <v>87</v>
      </c>
      <c r="C29" s="25">
        <f>[1]Sheet1!$C$4</f>
        <v>8</v>
      </c>
      <c r="D29" s="25" t="s">
        <v>202</v>
      </c>
      <c r="E29" s="26">
        <f>MAX(G23+1,G10)</f>
        <v>46143</v>
      </c>
      <c r="F29" s="27">
        <v>2</v>
      </c>
      <c r="G29" s="26">
        <f t="shared" ref="G29:G33" si="2">E29+F29</f>
        <v>46145</v>
      </c>
      <c r="H29" s="26"/>
      <c r="I29" s="27"/>
      <c r="J29" s="26"/>
      <c r="K29" s="28"/>
    </row>
    <row r="30" spans="1:11" ht="30" customHeight="1" x14ac:dyDescent="0.35">
      <c r="A30" s="3">
        <v>24</v>
      </c>
      <c r="B30" s="25" t="s">
        <v>89</v>
      </c>
      <c r="C30" s="25">
        <v>1</v>
      </c>
      <c r="D30" s="25" t="s">
        <v>205</v>
      </c>
      <c r="E30" s="26">
        <f>G23</f>
        <v>46142</v>
      </c>
      <c r="F30" s="27">
        <v>4</v>
      </c>
      <c r="G30" s="26">
        <f t="shared" si="2"/>
        <v>46146</v>
      </c>
      <c r="H30" s="26"/>
      <c r="I30" s="27"/>
      <c r="J30" s="26"/>
      <c r="K30" s="28"/>
    </row>
    <row r="31" spans="1:11" ht="30" customHeight="1" x14ac:dyDescent="0.35">
      <c r="A31" s="3">
        <v>25</v>
      </c>
      <c r="B31" s="25" t="s">
        <v>91</v>
      </c>
      <c r="C31" s="25">
        <v>8</v>
      </c>
      <c r="D31" s="25" t="s">
        <v>206</v>
      </c>
      <c r="E31" s="33">
        <f>MAX(G29+1,G16)</f>
        <v>46146</v>
      </c>
      <c r="F31" s="27">
        <v>3</v>
      </c>
      <c r="G31" s="26">
        <f t="shared" si="2"/>
        <v>46149</v>
      </c>
      <c r="H31" s="26"/>
      <c r="I31" s="27"/>
      <c r="J31" s="26"/>
      <c r="K31" s="28"/>
    </row>
    <row r="32" spans="1:11" ht="30" customHeight="1" x14ac:dyDescent="0.35">
      <c r="A32" s="3">
        <v>26</v>
      </c>
      <c r="B32" s="25" t="s">
        <v>94</v>
      </c>
      <c r="C32" s="25">
        <v>8</v>
      </c>
      <c r="D32" s="25" t="s">
        <v>207</v>
      </c>
      <c r="E32" s="26">
        <f>G31+1</f>
        <v>46150</v>
      </c>
      <c r="F32" s="27">
        <v>3</v>
      </c>
      <c r="G32" s="26">
        <f t="shared" si="2"/>
        <v>46153</v>
      </c>
      <c r="H32" s="26"/>
      <c r="I32" s="27"/>
      <c r="J32" s="26"/>
      <c r="K32" s="28"/>
    </row>
    <row r="33" spans="1:11" ht="30" customHeight="1" x14ac:dyDescent="0.35">
      <c r="A33" s="3">
        <v>28</v>
      </c>
      <c r="B33" s="25" t="s">
        <v>96</v>
      </c>
      <c r="C33" s="25">
        <v>2.4</v>
      </c>
      <c r="D33" s="25" t="s">
        <v>208</v>
      </c>
      <c r="E33" s="26">
        <f>G30+1</f>
        <v>46147</v>
      </c>
      <c r="F33" s="27">
        <v>6</v>
      </c>
      <c r="G33" s="26">
        <f t="shared" si="2"/>
        <v>46153</v>
      </c>
      <c r="H33" s="26"/>
      <c r="I33" s="27"/>
      <c r="J33" s="26"/>
      <c r="K33" s="28"/>
    </row>
    <row r="34" spans="1:11" ht="30" customHeight="1" x14ac:dyDescent="0.3">
      <c r="A34" s="3">
        <v>29</v>
      </c>
      <c r="B34" s="35" t="s">
        <v>98</v>
      </c>
      <c r="C34" s="35"/>
      <c r="D34" s="35"/>
      <c r="E34" s="35"/>
      <c r="F34" s="35"/>
      <c r="G34" s="35"/>
      <c r="H34" s="35"/>
      <c r="I34" s="35"/>
      <c r="J34" s="35"/>
      <c r="K34" s="35"/>
    </row>
    <row r="35" spans="1:11" ht="30" customHeight="1" x14ac:dyDescent="0.35">
      <c r="A35" s="3">
        <v>30</v>
      </c>
      <c r="B35" s="25" t="s">
        <v>99</v>
      </c>
      <c r="C35" s="25">
        <v>8</v>
      </c>
      <c r="D35" s="25" t="s">
        <v>206</v>
      </c>
      <c r="E35" s="26">
        <f>MAX(G31+1,G17)</f>
        <v>46150</v>
      </c>
      <c r="F35" s="27">
        <v>1</v>
      </c>
      <c r="G35" s="26">
        <f t="shared" ref="G35:G37" si="3">E35+F35</f>
        <v>46151</v>
      </c>
      <c r="H35" s="26"/>
      <c r="I35" s="27"/>
      <c r="J35" s="26"/>
      <c r="K35" s="28"/>
    </row>
    <row r="36" spans="1:11" ht="30" customHeight="1" x14ac:dyDescent="0.35">
      <c r="A36" s="3">
        <v>31</v>
      </c>
      <c r="B36" s="25" t="s">
        <v>102</v>
      </c>
      <c r="C36" s="25">
        <v>8</v>
      </c>
      <c r="D36" s="25" t="s">
        <v>202</v>
      </c>
      <c r="E36" s="26">
        <f>G35</f>
        <v>46151</v>
      </c>
      <c r="F36" s="27">
        <v>1</v>
      </c>
      <c r="G36" s="26">
        <f t="shared" si="3"/>
        <v>46152</v>
      </c>
      <c r="H36" s="26"/>
      <c r="I36" s="27"/>
      <c r="J36" s="26"/>
      <c r="K36" s="28"/>
    </row>
    <row r="37" spans="1:11" ht="30" customHeight="1" x14ac:dyDescent="0.35">
      <c r="A37" s="3">
        <v>32</v>
      </c>
      <c r="B37" s="25" t="s">
        <v>104</v>
      </c>
      <c r="C37" s="25">
        <v>8</v>
      </c>
      <c r="D37" s="25" t="s">
        <v>202</v>
      </c>
      <c r="E37" s="26">
        <f>G36</f>
        <v>46152</v>
      </c>
      <c r="F37" s="27">
        <v>1</v>
      </c>
      <c r="G37" s="26">
        <f t="shared" si="3"/>
        <v>46153</v>
      </c>
      <c r="H37" s="26"/>
      <c r="I37" s="27"/>
      <c r="J37" s="26"/>
      <c r="K37" s="28"/>
    </row>
    <row r="38" spans="1:11" ht="30" customHeight="1" x14ac:dyDescent="0.3">
      <c r="A38" s="3">
        <v>33</v>
      </c>
      <c r="B38" s="35" t="s">
        <v>105</v>
      </c>
      <c r="C38" s="35"/>
      <c r="D38" s="35"/>
      <c r="E38" s="35"/>
      <c r="F38" s="35"/>
      <c r="G38" s="35"/>
      <c r="H38" s="35"/>
      <c r="I38" s="35"/>
      <c r="J38" s="35"/>
      <c r="K38" s="35"/>
    </row>
    <row r="39" spans="1:11" ht="30" customHeight="1" x14ac:dyDescent="0.35">
      <c r="A39" s="3">
        <v>34</v>
      </c>
      <c r="B39" s="30" t="s">
        <v>109</v>
      </c>
      <c r="C39" s="30">
        <v>1</v>
      </c>
      <c r="D39" s="30" t="s">
        <v>204</v>
      </c>
      <c r="E39" s="26">
        <f>E23+5</f>
        <v>46137</v>
      </c>
      <c r="F39" s="27">
        <v>10</v>
      </c>
      <c r="G39" s="26">
        <f>E39+F39</f>
        <v>46147</v>
      </c>
      <c r="H39" s="26"/>
      <c r="I39" s="27"/>
      <c r="J39" s="26"/>
      <c r="K39" s="28"/>
    </row>
    <row r="40" spans="1:11" ht="30" customHeight="1" x14ac:dyDescent="0.35">
      <c r="A40" s="3">
        <v>35</v>
      </c>
      <c r="B40" s="25" t="s">
        <v>111</v>
      </c>
      <c r="C40" s="25">
        <v>1</v>
      </c>
      <c r="D40" s="25" t="s">
        <v>204</v>
      </c>
      <c r="E40" s="26">
        <f>MAX(G39+1,G13)</f>
        <v>46157</v>
      </c>
      <c r="F40" s="27">
        <v>1</v>
      </c>
      <c r="G40" s="26">
        <f t="shared" ref="G40:G44" si="4">E40+F40</f>
        <v>46158</v>
      </c>
      <c r="H40" s="26"/>
      <c r="I40" s="27"/>
      <c r="J40" s="26"/>
      <c r="K40" s="28"/>
    </row>
    <row r="41" spans="1:11" ht="30" customHeight="1" x14ac:dyDescent="0.35">
      <c r="A41" s="3">
        <v>36</v>
      </c>
      <c r="B41" s="25" t="s">
        <v>113</v>
      </c>
      <c r="C41" s="25">
        <v>8</v>
      </c>
      <c r="D41" s="25" t="s">
        <v>206</v>
      </c>
      <c r="E41" s="26">
        <f>G40</f>
        <v>46158</v>
      </c>
      <c r="F41" s="27">
        <v>1</v>
      </c>
      <c r="G41" s="26">
        <f t="shared" si="4"/>
        <v>46159</v>
      </c>
      <c r="H41" s="26"/>
      <c r="I41" s="27"/>
      <c r="J41" s="26"/>
      <c r="K41" s="28"/>
    </row>
    <row r="42" spans="1:11" ht="30" customHeight="1" x14ac:dyDescent="0.35">
      <c r="A42" s="3">
        <v>37</v>
      </c>
      <c r="B42" s="25" t="s">
        <v>116</v>
      </c>
      <c r="C42" s="25">
        <v>1</v>
      </c>
      <c r="D42" s="25" t="s">
        <v>205</v>
      </c>
      <c r="E42" s="26">
        <f>G41</f>
        <v>46159</v>
      </c>
      <c r="F42" s="27">
        <v>2</v>
      </c>
      <c r="G42" s="26">
        <f t="shared" si="4"/>
        <v>46161</v>
      </c>
      <c r="H42" s="26"/>
      <c r="I42" s="27"/>
      <c r="J42" s="26"/>
      <c r="K42" s="28"/>
    </row>
    <row r="43" spans="1:11" ht="30" customHeight="1" x14ac:dyDescent="0.35">
      <c r="A43" s="3">
        <v>38</v>
      </c>
      <c r="B43" s="25" t="s">
        <v>119</v>
      </c>
      <c r="C43" s="25">
        <v>1</v>
      </c>
      <c r="D43" s="25" t="s">
        <v>205</v>
      </c>
      <c r="E43" s="26">
        <f>MAX(G40,G19)</f>
        <v>46162</v>
      </c>
      <c r="F43" s="27">
        <v>2</v>
      </c>
      <c r="G43" s="26">
        <f t="shared" si="4"/>
        <v>46164</v>
      </c>
      <c r="H43" s="26"/>
      <c r="I43" s="27"/>
      <c r="J43" s="26"/>
      <c r="K43" s="28"/>
    </row>
    <row r="44" spans="1:11" ht="30" customHeight="1" x14ac:dyDescent="0.35">
      <c r="A44" s="3">
        <v>39</v>
      </c>
      <c r="B44" s="25" t="s">
        <v>121</v>
      </c>
      <c r="C44" s="25">
        <v>1</v>
      </c>
      <c r="D44" s="25" t="s">
        <v>205</v>
      </c>
      <c r="E44" s="26">
        <f>G42</f>
        <v>46161</v>
      </c>
      <c r="F44" s="27">
        <v>1</v>
      </c>
      <c r="G44" s="26">
        <f t="shared" si="4"/>
        <v>46162</v>
      </c>
      <c r="H44" s="26"/>
      <c r="I44" s="27"/>
      <c r="J44" s="26"/>
      <c r="K44" s="28"/>
    </row>
    <row r="45" spans="1:11" ht="30" customHeight="1" x14ac:dyDescent="0.3">
      <c r="A45" s="3">
        <v>41</v>
      </c>
      <c r="B45" s="35" t="s">
        <v>122</v>
      </c>
      <c r="C45" s="35"/>
      <c r="D45" s="35"/>
      <c r="E45" s="35"/>
      <c r="F45" s="35"/>
      <c r="G45" s="35"/>
      <c r="H45" s="35"/>
      <c r="I45" s="35"/>
      <c r="J45" s="35"/>
      <c r="K45" s="35"/>
    </row>
    <row r="46" spans="1:11" ht="30" customHeight="1" x14ac:dyDescent="0.35">
      <c r="A46" s="3">
        <v>42</v>
      </c>
      <c r="B46" s="30" t="s">
        <v>123</v>
      </c>
      <c r="C46" s="30">
        <v>1</v>
      </c>
      <c r="D46" s="30" t="s">
        <v>204</v>
      </c>
      <c r="E46" s="26">
        <f>E23+5</f>
        <v>46137</v>
      </c>
      <c r="F46" s="27">
        <v>10</v>
      </c>
      <c r="G46" s="26">
        <f>E46+F46</f>
        <v>46147</v>
      </c>
      <c r="H46" s="26"/>
      <c r="I46" s="27"/>
      <c r="J46" s="26"/>
      <c r="K46" s="28"/>
    </row>
    <row r="47" spans="1:11" ht="30" customHeight="1" x14ac:dyDescent="0.35">
      <c r="A47" s="3">
        <v>43</v>
      </c>
      <c r="B47" s="25" t="s">
        <v>124</v>
      </c>
      <c r="C47" s="25">
        <v>1</v>
      </c>
      <c r="D47" s="25" t="s">
        <v>204</v>
      </c>
      <c r="E47" s="26">
        <f>MAX(G46+1,G14)</f>
        <v>46157</v>
      </c>
      <c r="F47" s="27">
        <v>1</v>
      </c>
      <c r="G47" s="26">
        <f t="shared" ref="G47:G51" si="5">E47+F47</f>
        <v>46158</v>
      </c>
      <c r="H47" s="26"/>
      <c r="I47" s="27"/>
      <c r="J47" s="26"/>
      <c r="K47" s="28"/>
    </row>
    <row r="48" spans="1:11" ht="30" customHeight="1" x14ac:dyDescent="0.35">
      <c r="A48" s="3">
        <v>44</v>
      </c>
      <c r="B48" s="25" t="s">
        <v>126</v>
      </c>
      <c r="C48" s="25">
        <v>1</v>
      </c>
      <c r="D48" s="25" t="s">
        <v>205</v>
      </c>
      <c r="E48" s="26">
        <f>G47</f>
        <v>46158</v>
      </c>
      <c r="F48" s="27">
        <v>1</v>
      </c>
      <c r="G48" s="26">
        <f t="shared" si="5"/>
        <v>46159</v>
      </c>
      <c r="H48" s="26"/>
      <c r="I48" s="27"/>
      <c r="J48" s="26"/>
      <c r="K48" s="28"/>
    </row>
    <row r="49" spans="1:11" ht="30" customHeight="1" x14ac:dyDescent="0.35">
      <c r="A49" s="3">
        <v>45</v>
      </c>
      <c r="B49" s="25" t="s">
        <v>127</v>
      </c>
      <c r="C49" s="25">
        <v>1</v>
      </c>
      <c r="D49" s="25" t="s">
        <v>205</v>
      </c>
      <c r="E49" s="26">
        <f>MAX(G48,G17)</f>
        <v>46159</v>
      </c>
      <c r="F49" s="27">
        <v>1</v>
      </c>
      <c r="G49" s="26">
        <f t="shared" si="5"/>
        <v>46160</v>
      </c>
      <c r="H49" s="26"/>
      <c r="I49" s="27"/>
      <c r="J49" s="26"/>
      <c r="K49" s="28"/>
    </row>
    <row r="50" spans="1:11" ht="30" customHeight="1" x14ac:dyDescent="0.35">
      <c r="A50" s="3">
        <v>46</v>
      </c>
      <c r="B50" s="25" t="s">
        <v>129</v>
      </c>
      <c r="C50" s="25">
        <v>1</v>
      </c>
      <c r="D50" s="25" t="s">
        <v>205</v>
      </c>
      <c r="E50" s="26">
        <f>G49</f>
        <v>46160</v>
      </c>
      <c r="F50" s="27">
        <v>1</v>
      </c>
      <c r="G50" s="26">
        <f t="shared" si="5"/>
        <v>46161</v>
      </c>
      <c r="H50" s="26"/>
      <c r="I50" s="27"/>
      <c r="J50" s="26"/>
      <c r="K50" s="28"/>
    </row>
    <row r="51" spans="1:11" ht="30" customHeight="1" x14ac:dyDescent="0.35">
      <c r="A51" s="3">
        <v>47</v>
      </c>
      <c r="B51" s="25" t="s">
        <v>130</v>
      </c>
      <c r="C51" s="25">
        <v>1</v>
      </c>
      <c r="D51" s="25" t="s">
        <v>204</v>
      </c>
      <c r="E51" s="26">
        <f>G50</f>
        <v>46161</v>
      </c>
      <c r="F51" s="27">
        <v>1</v>
      </c>
      <c r="G51" s="26">
        <f t="shared" si="5"/>
        <v>46162</v>
      </c>
      <c r="H51" s="26"/>
      <c r="I51" s="27"/>
      <c r="J51" s="26"/>
      <c r="K51" s="28"/>
    </row>
    <row r="52" spans="1:11" ht="30" customHeight="1" x14ac:dyDescent="0.3">
      <c r="A52" s="3">
        <v>48</v>
      </c>
      <c r="B52" s="35" t="s">
        <v>131</v>
      </c>
      <c r="C52" s="35"/>
      <c r="D52" s="35"/>
      <c r="E52" s="35"/>
      <c r="F52" s="35"/>
      <c r="G52" s="35"/>
      <c r="H52" s="35"/>
      <c r="I52" s="35"/>
      <c r="J52" s="35"/>
      <c r="K52" s="35"/>
    </row>
    <row r="53" spans="1:11" ht="30" customHeight="1" x14ac:dyDescent="0.35">
      <c r="A53" s="3">
        <v>49</v>
      </c>
      <c r="B53" s="30" t="s">
        <v>132</v>
      </c>
      <c r="C53" s="30">
        <v>1</v>
      </c>
      <c r="D53" s="30" t="s">
        <v>204</v>
      </c>
      <c r="E53" s="26">
        <f>E23+5</f>
        <v>46137</v>
      </c>
      <c r="F53" s="27">
        <v>10</v>
      </c>
      <c r="G53" s="26">
        <f>E53+F53</f>
        <v>46147</v>
      </c>
      <c r="H53" s="26"/>
      <c r="I53" s="27"/>
      <c r="J53" s="26"/>
      <c r="K53" s="28"/>
    </row>
    <row r="54" spans="1:11" ht="30" customHeight="1" x14ac:dyDescent="0.35">
      <c r="A54" s="3">
        <v>50</v>
      </c>
      <c r="B54" s="25" t="s">
        <v>133</v>
      </c>
      <c r="C54" s="25">
        <v>1</v>
      </c>
      <c r="D54" s="25" t="s">
        <v>204</v>
      </c>
      <c r="E54" s="26">
        <f>MAX(G53+1,G15)</f>
        <v>46172</v>
      </c>
      <c r="F54" s="27">
        <v>1</v>
      </c>
      <c r="G54" s="26">
        <f t="shared" ref="G54:G58" si="6">E54+F54</f>
        <v>46173</v>
      </c>
      <c r="H54" s="26"/>
      <c r="I54" s="27"/>
      <c r="J54" s="26"/>
      <c r="K54" s="28"/>
    </row>
    <row r="55" spans="1:11" ht="30" customHeight="1" x14ac:dyDescent="0.35">
      <c r="A55" s="3">
        <v>51</v>
      </c>
      <c r="B55" s="25" t="s">
        <v>136</v>
      </c>
      <c r="C55" s="25">
        <v>1</v>
      </c>
      <c r="D55" s="25" t="s">
        <v>205</v>
      </c>
      <c r="E55" s="26">
        <f>G54</f>
        <v>46173</v>
      </c>
      <c r="F55" s="27">
        <v>1</v>
      </c>
      <c r="G55" s="26">
        <f t="shared" si="6"/>
        <v>46174</v>
      </c>
      <c r="H55" s="26"/>
      <c r="I55" s="27"/>
      <c r="J55" s="26"/>
      <c r="K55" s="28"/>
    </row>
    <row r="56" spans="1:11" ht="30" customHeight="1" x14ac:dyDescent="0.35">
      <c r="A56" s="3">
        <v>52</v>
      </c>
      <c r="B56" s="25" t="s">
        <v>137</v>
      </c>
      <c r="C56" s="25">
        <v>1</v>
      </c>
      <c r="D56" s="25" t="s">
        <v>205</v>
      </c>
      <c r="E56" s="26">
        <f>MAX(G55,G18)</f>
        <v>46174</v>
      </c>
      <c r="F56" s="27">
        <v>1</v>
      </c>
      <c r="G56" s="26">
        <f t="shared" si="6"/>
        <v>46175</v>
      </c>
      <c r="H56" s="26"/>
      <c r="I56" s="27"/>
      <c r="J56" s="26"/>
      <c r="K56" s="28"/>
    </row>
    <row r="57" spans="1:11" ht="30" customHeight="1" x14ac:dyDescent="0.35">
      <c r="A57" s="3">
        <v>53</v>
      </c>
      <c r="B57" s="25" t="s">
        <v>139</v>
      </c>
      <c r="C57" s="25">
        <v>1</v>
      </c>
      <c r="D57" s="25" t="s">
        <v>205</v>
      </c>
      <c r="E57" s="26">
        <f t="shared" ref="E57:E58" si="7">G56</f>
        <v>46175</v>
      </c>
      <c r="F57" s="27">
        <v>1</v>
      </c>
      <c r="G57" s="26">
        <f t="shared" si="6"/>
        <v>46176</v>
      </c>
      <c r="H57" s="26"/>
      <c r="I57" s="27"/>
      <c r="J57" s="26"/>
      <c r="K57" s="28"/>
    </row>
    <row r="58" spans="1:11" ht="30" customHeight="1" x14ac:dyDescent="0.35">
      <c r="A58" s="3">
        <v>54</v>
      </c>
      <c r="B58" s="25" t="s">
        <v>140</v>
      </c>
      <c r="C58" s="25">
        <v>1</v>
      </c>
      <c r="D58" s="25" t="s">
        <v>205</v>
      </c>
      <c r="E58" s="26">
        <f t="shared" si="7"/>
        <v>46176</v>
      </c>
      <c r="F58" s="27">
        <v>1</v>
      </c>
      <c r="G58" s="26">
        <f t="shared" si="6"/>
        <v>46177</v>
      </c>
      <c r="H58" s="26"/>
      <c r="I58" s="27"/>
      <c r="J58" s="26"/>
      <c r="K58" s="28"/>
    </row>
    <row r="59" spans="1:11" ht="30" customHeight="1" x14ac:dyDescent="0.3">
      <c r="A59" s="3">
        <v>55</v>
      </c>
      <c r="B59" s="35" t="s">
        <v>141</v>
      </c>
      <c r="C59" s="35"/>
      <c r="D59" s="35"/>
      <c r="E59" s="35"/>
      <c r="F59" s="35"/>
      <c r="G59" s="35"/>
      <c r="H59" s="35"/>
      <c r="I59" s="35"/>
      <c r="J59" s="35"/>
      <c r="K59" s="35"/>
    </row>
    <row r="60" spans="1:11" ht="30" customHeight="1" x14ac:dyDescent="0.35">
      <c r="A60" s="3">
        <v>56</v>
      </c>
      <c r="B60" s="30" t="s">
        <v>144</v>
      </c>
      <c r="C60" s="30">
        <v>1</v>
      </c>
      <c r="D60" s="30" t="s">
        <v>204</v>
      </c>
      <c r="E60" s="26">
        <f>E53+1</f>
        <v>46138</v>
      </c>
      <c r="F60" s="27">
        <v>2</v>
      </c>
      <c r="G60" s="26">
        <f>E60+F60</f>
        <v>46140</v>
      </c>
      <c r="H60" s="26"/>
      <c r="I60" s="27"/>
      <c r="J60" s="26"/>
      <c r="K60" s="28"/>
    </row>
    <row r="61" spans="1:11" ht="30" customHeight="1" x14ac:dyDescent="0.35">
      <c r="A61" s="3">
        <v>57</v>
      </c>
      <c r="B61" s="25" t="s">
        <v>147</v>
      </c>
      <c r="C61" s="25">
        <v>1</v>
      </c>
      <c r="D61" s="25" t="s">
        <v>205</v>
      </c>
      <c r="E61" s="26">
        <f>G60</f>
        <v>46140</v>
      </c>
      <c r="F61" s="27">
        <v>7</v>
      </c>
      <c r="G61" s="26">
        <f t="shared" ref="G61:G67" si="8">E61+F61</f>
        <v>46147</v>
      </c>
      <c r="H61" s="26"/>
      <c r="I61" s="27"/>
      <c r="J61" s="26"/>
      <c r="K61" s="28"/>
    </row>
    <row r="62" spans="1:11" ht="30" customHeight="1" x14ac:dyDescent="0.35">
      <c r="A62" s="3">
        <v>59</v>
      </c>
      <c r="B62" s="25" t="s">
        <v>150</v>
      </c>
      <c r="C62" s="25">
        <v>1</v>
      </c>
      <c r="D62" s="25" t="s">
        <v>204</v>
      </c>
      <c r="E62" s="26">
        <f>G61</f>
        <v>46147</v>
      </c>
      <c r="F62" s="27">
        <v>20</v>
      </c>
      <c r="G62" s="26">
        <f t="shared" si="8"/>
        <v>46167</v>
      </c>
      <c r="H62" s="26"/>
      <c r="I62" s="27"/>
      <c r="J62" s="26"/>
      <c r="K62" s="28"/>
    </row>
    <row r="63" spans="1:11" ht="30" customHeight="1" x14ac:dyDescent="0.35">
      <c r="A63" s="3">
        <v>60</v>
      </c>
      <c r="B63" s="25" t="s">
        <v>152</v>
      </c>
      <c r="C63" s="25">
        <v>1</v>
      </c>
      <c r="D63" s="25" t="s">
        <v>205</v>
      </c>
      <c r="E63" s="26">
        <f>G62</f>
        <v>46167</v>
      </c>
      <c r="F63" s="27">
        <v>1</v>
      </c>
      <c r="G63" s="26">
        <f t="shared" si="8"/>
        <v>46168</v>
      </c>
      <c r="H63" s="26"/>
      <c r="I63" s="27"/>
      <c r="J63" s="26"/>
      <c r="K63" s="28"/>
    </row>
    <row r="64" spans="1:11" ht="30" customHeight="1" x14ac:dyDescent="0.35">
      <c r="A64" s="3">
        <v>61</v>
      </c>
      <c r="B64" s="25" t="s">
        <v>153</v>
      </c>
      <c r="C64" s="25">
        <v>1</v>
      </c>
      <c r="D64" s="25" t="s">
        <v>205</v>
      </c>
      <c r="E64" s="26">
        <f>G63</f>
        <v>46168</v>
      </c>
      <c r="F64" s="27">
        <v>1</v>
      </c>
      <c r="G64" s="26">
        <f t="shared" si="8"/>
        <v>46169</v>
      </c>
      <c r="H64" s="26"/>
      <c r="I64" s="27"/>
      <c r="J64" s="26"/>
      <c r="K64" s="28"/>
    </row>
    <row r="65" spans="1:11" ht="30" customHeight="1" x14ac:dyDescent="0.35">
      <c r="A65" s="3">
        <v>62</v>
      </c>
      <c r="B65" s="25" t="s">
        <v>154</v>
      </c>
      <c r="C65" s="25">
        <v>1</v>
      </c>
      <c r="D65" s="25" t="s">
        <v>205</v>
      </c>
      <c r="E65" s="26">
        <f t="shared" ref="E65:E67" si="9">G64</f>
        <v>46169</v>
      </c>
      <c r="F65" s="27">
        <v>1</v>
      </c>
      <c r="G65" s="26">
        <f t="shared" si="8"/>
        <v>46170</v>
      </c>
      <c r="H65" s="26"/>
      <c r="I65" s="27"/>
      <c r="J65" s="26"/>
      <c r="K65" s="28"/>
    </row>
    <row r="66" spans="1:11" ht="30" customHeight="1" x14ac:dyDescent="0.35">
      <c r="A66" s="3">
        <v>63</v>
      </c>
      <c r="B66" s="25" t="s">
        <v>155</v>
      </c>
      <c r="C66" s="25">
        <v>1</v>
      </c>
      <c r="D66" s="25" t="s">
        <v>204</v>
      </c>
      <c r="E66" s="26">
        <f t="shared" si="9"/>
        <v>46170</v>
      </c>
      <c r="F66" s="27">
        <v>1</v>
      </c>
      <c r="G66" s="26">
        <f t="shared" si="8"/>
        <v>46171</v>
      </c>
      <c r="H66" s="26"/>
      <c r="I66" s="27"/>
      <c r="J66" s="26"/>
      <c r="K66" s="28"/>
    </row>
    <row r="67" spans="1:11" ht="30" customHeight="1" x14ac:dyDescent="0.35">
      <c r="A67" s="3">
        <v>64</v>
      </c>
      <c r="B67" s="25" t="s">
        <v>157</v>
      </c>
      <c r="C67" s="25">
        <v>1</v>
      </c>
      <c r="D67" s="25" t="s">
        <v>204</v>
      </c>
      <c r="E67" s="26">
        <f t="shared" si="9"/>
        <v>46171</v>
      </c>
      <c r="F67" s="27">
        <v>1</v>
      </c>
      <c r="G67" s="26">
        <f t="shared" si="8"/>
        <v>46172</v>
      </c>
      <c r="H67" s="26"/>
      <c r="I67" s="27"/>
      <c r="J67" s="26"/>
      <c r="K67" s="28"/>
    </row>
    <row r="68" spans="1:11" ht="30" customHeight="1" x14ac:dyDescent="0.3">
      <c r="A68" s="3">
        <v>65</v>
      </c>
      <c r="B68" s="35" t="s">
        <v>158</v>
      </c>
      <c r="C68" s="35"/>
      <c r="D68" s="35"/>
      <c r="E68" s="35"/>
      <c r="F68" s="35"/>
      <c r="G68" s="35"/>
      <c r="H68" s="35"/>
      <c r="I68" s="35"/>
      <c r="J68" s="35"/>
      <c r="K68" s="35"/>
    </row>
    <row r="69" spans="1:11" ht="30" customHeight="1" x14ac:dyDescent="0.35">
      <c r="A69" s="3">
        <v>67</v>
      </c>
      <c r="B69" s="25" t="s">
        <v>160</v>
      </c>
      <c r="C69" s="25">
        <v>1</v>
      </c>
      <c r="D69" s="25" t="s">
        <v>205</v>
      </c>
      <c r="E69" s="26">
        <f>G62</f>
        <v>46167</v>
      </c>
      <c r="F69" s="27">
        <v>3</v>
      </c>
      <c r="G69" s="26">
        <f>E69+F69</f>
        <v>46170</v>
      </c>
      <c r="H69" s="26"/>
      <c r="I69" s="27"/>
      <c r="J69" s="26"/>
      <c r="K69" s="28"/>
    </row>
    <row r="70" spans="1:11" ht="30" customHeight="1" x14ac:dyDescent="0.35">
      <c r="A70" s="3">
        <v>66</v>
      </c>
      <c r="B70" s="30" t="s">
        <v>161</v>
      </c>
      <c r="C70" s="30">
        <v>1</v>
      </c>
      <c r="D70" s="30" t="s">
        <v>205</v>
      </c>
      <c r="E70" s="26">
        <f>G69</f>
        <v>46170</v>
      </c>
      <c r="F70" s="27">
        <v>7</v>
      </c>
      <c r="G70" s="26">
        <f>E70+F70</f>
        <v>46177</v>
      </c>
      <c r="H70" s="26"/>
      <c r="I70" s="27"/>
      <c r="J70" s="26"/>
      <c r="K70" s="28"/>
    </row>
    <row r="71" spans="1:11" ht="30" customHeight="1" x14ac:dyDescent="0.35">
      <c r="A71" s="3">
        <v>68</v>
      </c>
      <c r="B71" s="25" t="s">
        <v>162</v>
      </c>
      <c r="C71" s="25">
        <v>1</v>
      </c>
      <c r="D71" s="25" t="s">
        <v>205</v>
      </c>
      <c r="E71" s="26">
        <f>G70</f>
        <v>46177</v>
      </c>
      <c r="F71" s="27">
        <v>4</v>
      </c>
      <c r="G71" s="26">
        <f t="shared" ref="G71" si="10">E71+F71</f>
        <v>46181</v>
      </c>
      <c r="H71" s="26"/>
      <c r="I71" s="27"/>
      <c r="J71" s="26"/>
      <c r="K71" s="28"/>
    </row>
    <row r="72" spans="1:11" ht="30" customHeight="1" x14ac:dyDescent="0.3">
      <c r="A72" s="3">
        <v>69</v>
      </c>
      <c r="B72" s="35" t="s">
        <v>163</v>
      </c>
      <c r="C72" s="35"/>
      <c r="D72" s="35"/>
      <c r="E72" s="35"/>
      <c r="F72" s="35"/>
      <c r="G72" s="35"/>
      <c r="H72" s="35"/>
      <c r="I72" s="35"/>
      <c r="J72" s="35"/>
      <c r="K72" s="35"/>
    </row>
    <row r="73" spans="1:11" ht="30" customHeight="1" x14ac:dyDescent="0.35">
      <c r="A73" s="3">
        <v>70</v>
      </c>
      <c r="B73" s="30" t="s">
        <v>165</v>
      </c>
      <c r="C73" s="25">
        <v>1</v>
      </c>
      <c r="D73" s="25" t="s">
        <v>205</v>
      </c>
      <c r="E73" s="26">
        <f>MAX(G30,G20)</f>
        <v>46157</v>
      </c>
      <c r="F73" s="27">
        <v>6</v>
      </c>
      <c r="G73" s="26">
        <f>E73+F73</f>
        <v>46163</v>
      </c>
      <c r="H73" s="26"/>
      <c r="I73" s="27"/>
      <c r="J73" s="26"/>
      <c r="K73" s="28"/>
    </row>
    <row r="74" spans="1:11" ht="30" customHeight="1" x14ac:dyDescent="0.35">
      <c r="A74" s="3">
        <v>71</v>
      </c>
      <c r="B74" s="25" t="s">
        <v>167</v>
      </c>
      <c r="C74" s="30">
        <v>1</v>
      </c>
      <c r="D74" s="30" t="s">
        <v>205</v>
      </c>
      <c r="E74" s="26">
        <f>MAX(G73,G20)</f>
        <v>46163</v>
      </c>
      <c r="F74" s="27">
        <v>2</v>
      </c>
      <c r="G74" s="26">
        <f t="shared" ref="G74:G75" si="11">E74+F74</f>
        <v>46165</v>
      </c>
      <c r="H74" s="26"/>
      <c r="I74" s="27"/>
      <c r="J74" s="26"/>
      <c r="K74" s="28"/>
    </row>
    <row r="75" spans="1:11" ht="30" customHeight="1" x14ac:dyDescent="0.35">
      <c r="A75" s="3">
        <v>72</v>
      </c>
      <c r="B75" s="25" t="s">
        <v>169</v>
      </c>
      <c r="C75" s="25">
        <v>1</v>
      </c>
      <c r="D75" s="25" t="s">
        <v>205</v>
      </c>
      <c r="E75" s="26">
        <f>G74</f>
        <v>46165</v>
      </c>
      <c r="F75" s="27">
        <v>1</v>
      </c>
      <c r="G75" s="26">
        <f t="shared" si="11"/>
        <v>46166</v>
      </c>
      <c r="H75" s="26"/>
      <c r="I75" s="27"/>
      <c r="J75" s="26"/>
      <c r="K75" s="28"/>
    </row>
    <row r="76" spans="1:11" ht="30" customHeight="1" x14ac:dyDescent="0.3">
      <c r="A76" s="3">
        <v>73</v>
      </c>
      <c r="B76" s="35" t="s">
        <v>170</v>
      </c>
      <c r="C76" s="35"/>
      <c r="D76" s="35"/>
      <c r="E76" s="35"/>
      <c r="F76" s="35"/>
      <c r="G76" s="35"/>
      <c r="H76" s="35"/>
      <c r="I76" s="35"/>
      <c r="J76" s="35"/>
      <c r="K76" s="35"/>
    </row>
    <row r="77" spans="1:11" ht="30" customHeight="1" x14ac:dyDescent="0.35">
      <c r="A77" s="3">
        <v>74</v>
      </c>
      <c r="B77" s="30" t="s">
        <v>173</v>
      </c>
      <c r="C77" s="25">
        <v>1</v>
      </c>
      <c r="D77" s="25" t="s">
        <v>205</v>
      </c>
      <c r="E77" s="26">
        <f>G71</f>
        <v>46181</v>
      </c>
      <c r="F77" s="27">
        <v>4</v>
      </c>
      <c r="G77" s="26">
        <f>E77+F77</f>
        <v>46185</v>
      </c>
      <c r="H77" s="26"/>
      <c r="I77" s="27"/>
      <c r="J77" s="26"/>
      <c r="K77" s="28"/>
    </row>
    <row r="78" spans="1:11" ht="30" customHeight="1" x14ac:dyDescent="0.35">
      <c r="A78" s="3">
        <v>77</v>
      </c>
      <c r="B78" s="25" t="s">
        <v>174</v>
      </c>
      <c r="C78" s="30">
        <v>1</v>
      </c>
      <c r="D78" s="30" t="s">
        <v>205</v>
      </c>
      <c r="E78" s="26">
        <f>G77</f>
        <v>46185</v>
      </c>
      <c r="F78" s="27">
        <v>2</v>
      </c>
      <c r="G78" s="26">
        <f t="shared" ref="G78:G79" si="12">E78+F78</f>
        <v>46187</v>
      </c>
      <c r="H78" s="26"/>
      <c r="I78" s="27"/>
      <c r="J78" s="26"/>
      <c r="K78" s="28"/>
    </row>
    <row r="79" spans="1:11" ht="30" customHeight="1" x14ac:dyDescent="0.35">
      <c r="A79" s="3">
        <v>78</v>
      </c>
      <c r="B79" s="25" t="s">
        <v>177</v>
      </c>
      <c r="C79" s="25">
        <v>1</v>
      </c>
      <c r="D79" s="25" t="s">
        <v>205</v>
      </c>
      <c r="E79" s="26">
        <f t="shared" ref="E79" si="13">G78</f>
        <v>46187</v>
      </c>
      <c r="F79" s="27">
        <v>2</v>
      </c>
      <c r="G79" s="26">
        <f t="shared" si="12"/>
        <v>46189</v>
      </c>
      <c r="H79" s="26"/>
      <c r="I79" s="27"/>
      <c r="J79" s="26"/>
      <c r="K79" s="28"/>
    </row>
  </sheetData>
  <mergeCells count="24">
    <mergeCell ref="AM2:AT2"/>
    <mergeCell ref="A3:A4"/>
    <mergeCell ref="B3:B4"/>
    <mergeCell ref="E3:E4"/>
    <mergeCell ref="F3:F4"/>
    <mergeCell ref="H3:H4"/>
    <mergeCell ref="B27:K27"/>
    <mergeCell ref="O2:S2"/>
    <mergeCell ref="U2:X2"/>
    <mergeCell ref="Z2:AC2"/>
    <mergeCell ref="AE2:AK2"/>
    <mergeCell ref="I3:I4"/>
    <mergeCell ref="K3:K4"/>
    <mergeCell ref="B5:K5"/>
    <mergeCell ref="B8:K8"/>
    <mergeCell ref="B21:K21"/>
    <mergeCell ref="B72:K72"/>
    <mergeCell ref="B76:K76"/>
    <mergeCell ref="B34:K34"/>
    <mergeCell ref="B38:K38"/>
    <mergeCell ref="B45:K45"/>
    <mergeCell ref="B52:K52"/>
    <mergeCell ref="B59:K59"/>
    <mergeCell ref="B68:K68"/>
  </mergeCells>
  <conditionalFormatting sqref="L6:BS79">
    <cfRule type="expression" dxfId="8" priority="1">
      <formula>PercentComplete</formula>
    </cfRule>
    <cfRule type="expression" dxfId="7" priority="2">
      <formula>PercentCompleteBeyond</formula>
    </cfRule>
    <cfRule type="expression" dxfId="6" priority="3">
      <formula>Actual</formula>
    </cfRule>
    <cfRule type="expression" dxfId="5" priority="4">
      <formula>ActualBeyond</formula>
    </cfRule>
    <cfRule type="expression" dxfId="4" priority="5">
      <formula>Plan</formula>
    </cfRule>
    <cfRule type="expression" dxfId="3" priority="6">
      <formula>L$4=period_selected</formula>
    </cfRule>
    <cfRule type="expression" dxfId="2" priority="7">
      <formula>MOD(COLUMN(),2)</formula>
    </cfRule>
    <cfRule type="expression" dxfId="1" priority="8">
      <formula>MOD(COLUMN(),2)=0</formula>
    </cfRule>
  </conditionalFormatting>
  <conditionalFormatting sqref="L4:BV4 L5:BS5">
    <cfRule type="expression" dxfId="0" priority="9">
      <formula>L$4=period_selected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38AA4BA3-5D43-4902-8919-7EEB94E5F27D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L2" xr:uid="{67E1139D-8FBF-4E8A-9ED9-C6442BDDB995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N2" xr:uid="{38CD321C-FFFC-4BAC-B589-86251F130F7A}"/>
    <dataValidation allowBlank="1" showInputMessage="1" showErrorMessage="1" prompt="This legend cell indicates actual duration" sqref="T2" xr:uid="{30A555D5-5985-4C88-BA31-288143D90B8F}"/>
    <dataValidation allowBlank="1" showInputMessage="1" showErrorMessage="1" prompt="This legend cell indicates the percentage of project completed" sqref="Y2" xr:uid="{FC4345C9-EC8E-43D4-BB47-72040C469D33}"/>
    <dataValidation allowBlank="1" showInputMessage="1" showErrorMessage="1" prompt="This legend cell indicates actual duration beyond plan" sqref="AD2" xr:uid="{E05F0CC8-85D2-4022-82A8-6C34029DF3E3}"/>
    <dataValidation allowBlank="1" showInputMessage="1" showErrorMessage="1" prompt="This legend cell indicates the percentage of project completed beyond plan" sqref="AL2" xr:uid="{78398CC5-8292-4B82-A9A4-701856CA6460}"/>
    <dataValidation allowBlank="1" showInputMessage="1" showErrorMessage="1" prompt="Periods are charted from 1 to 60 starting from cell H4 to cell BO4 " sqref="L3" xr:uid="{10A3F82F-0BEC-4CB7-A6EB-542F0DD19130}"/>
    <dataValidation allowBlank="1" showInputMessage="1" showErrorMessage="1" prompt="Enter activity in column B, starting with cell B5_x000a_" sqref="B3:D5" xr:uid="{9803B058-2415-4160-9A44-01B9C0399E73}"/>
    <dataValidation allowBlank="1" showInputMessage="1" showErrorMessage="1" prompt="Enter plan start period in column C, starting with cell C5" sqref="E3:E4" xr:uid="{211195B2-8BD9-4520-B2EC-C43FB98EBB7D}"/>
    <dataValidation allowBlank="1" showInputMessage="1" showErrorMessage="1" prompt="Enter plan duration period in column D, starting with cell D5" sqref="F3:G4" xr:uid="{FF110FE1-5175-46A3-8778-8DD0243BC0E7}"/>
    <dataValidation allowBlank="1" showInputMessage="1" showErrorMessage="1" prompt="Enter actual start period in column E, starting with cell E5" sqref="H3:H4" xr:uid="{C43E68F6-19F0-457D-9D2B-66BC1A58F18C}"/>
    <dataValidation allowBlank="1" showInputMessage="1" showErrorMessage="1" prompt="Enter actual duration period in column F, starting with cell F5" sqref="I3:J4" xr:uid="{C4B39822-4122-4F35-A671-ACC29470458D}"/>
    <dataValidation allowBlank="1" showInputMessage="1" showErrorMessage="1" prompt="Enter the percentage of project completed in column G, starting with cell G5" sqref="K3:K4" xr:uid="{9CC65F98-2F27-483B-94E5-7EA096CD6045}"/>
    <dataValidation allowBlank="1" showInputMessage="1" showErrorMessage="1" prompt="Title of the project. Enter a new title in this cell. Highlight a period in H2. Chart legend is in J2 to AI2" sqref="B1:D1" xr:uid="{7FB58CBB-9B7E-4428-8E62-446BE05D1362}"/>
    <dataValidation allowBlank="1" showInputMessage="1" showErrorMessage="1" prompt="Select a period to highlight in H2. A Chart legend is in J2 to AI2" sqref="B2:J2" xr:uid="{04E97B05-893C-41C4-9240-920B6833FC86}"/>
  </dataValidations>
  <printOptions horizontalCentered="1"/>
  <pageMargins left="0.45" right="0.45" top="0.5" bottom="0.5" header="0.3" footer="0.3"/>
  <pageSetup paperSize="9" scale="21" fitToHeight="0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4D09-CFD7-4052-A72F-19AF1E6B5660}">
  <dimension ref="A1:Y76"/>
  <sheetViews>
    <sheetView tabSelected="1" topLeftCell="A53" workbookViewId="0">
      <selection activeCell="S76" sqref="S76"/>
    </sheetView>
  </sheetViews>
  <sheetFormatPr defaultRowHeight="14.4" x14ac:dyDescent="0.3"/>
  <cols>
    <col min="2" max="2" width="34.6640625" customWidth="1"/>
    <col min="3" max="3" width="19.5546875" customWidth="1"/>
    <col min="4" max="4" width="13.77734375" customWidth="1"/>
    <col min="5" max="5" width="16.44140625" hidden="1" customWidth="1"/>
    <col min="6" max="6" width="17.6640625" hidden="1" customWidth="1"/>
    <col min="7" max="7" width="13.109375" hidden="1" customWidth="1"/>
    <col min="8" max="8" width="25.77734375" hidden="1" customWidth="1"/>
    <col min="9" max="9" width="16.6640625" hidden="1" customWidth="1"/>
    <col min="10" max="10" width="33.77734375" hidden="1" customWidth="1"/>
    <col min="11" max="18" width="0" hidden="1" customWidth="1"/>
    <col min="19" max="19" width="18.77734375" bestFit="1" customWidth="1"/>
    <col min="20" max="20" width="12.109375" bestFit="1" customWidth="1"/>
    <col min="21" max="21" width="8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 t="s">
        <v>26</v>
      </c>
      <c r="D2" t="s">
        <v>27</v>
      </c>
      <c r="H2" s="1">
        <v>46146</v>
      </c>
      <c r="I2" t="s">
        <v>28</v>
      </c>
      <c r="J2" t="s">
        <v>29</v>
      </c>
      <c r="K2" t="s">
        <v>28</v>
      </c>
      <c r="O2" s="2">
        <v>0.33333333333333331</v>
      </c>
      <c r="P2" s="2">
        <v>0.70833333333333337</v>
      </c>
    </row>
    <row r="3" spans="1:25" x14ac:dyDescent="0.3">
      <c r="A3">
        <v>2</v>
      </c>
      <c r="B3" t="s">
        <v>30</v>
      </c>
      <c r="C3" t="s">
        <v>26</v>
      </c>
      <c r="D3" t="s">
        <v>31</v>
      </c>
      <c r="H3" s="1">
        <v>46146</v>
      </c>
      <c r="I3" t="s">
        <v>28</v>
      </c>
      <c r="J3" s="1">
        <v>46269</v>
      </c>
      <c r="K3" t="s">
        <v>28</v>
      </c>
      <c r="O3" s="2">
        <v>0.33333333333333331</v>
      </c>
      <c r="P3" s="2">
        <v>0.70833333333333337</v>
      </c>
    </row>
    <row r="4" spans="1:25" x14ac:dyDescent="0.3">
      <c r="A4">
        <v>3</v>
      </c>
      <c r="B4" t="s">
        <v>32</v>
      </c>
      <c r="C4" t="s">
        <v>26</v>
      </c>
      <c r="D4" t="s">
        <v>33</v>
      </c>
      <c r="H4" s="1">
        <v>46238</v>
      </c>
      <c r="I4" t="s">
        <v>28</v>
      </c>
      <c r="J4" t="s">
        <v>29</v>
      </c>
      <c r="K4" t="s">
        <v>28</v>
      </c>
      <c r="O4" s="2">
        <v>0.33333333333333331</v>
      </c>
      <c r="P4" s="2">
        <v>0.70833333333333337</v>
      </c>
      <c r="S4" t="s">
        <v>34</v>
      </c>
    </row>
    <row r="5" spans="1:25" x14ac:dyDescent="0.3">
      <c r="A5">
        <v>4</v>
      </c>
      <c r="B5" t="s">
        <v>35</v>
      </c>
      <c r="C5" t="s">
        <v>26</v>
      </c>
      <c r="D5" t="s">
        <v>36</v>
      </c>
      <c r="H5" s="1">
        <v>46329</v>
      </c>
      <c r="I5" t="s">
        <v>28</v>
      </c>
      <c r="J5" t="s">
        <v>37</v>
      </c>
      <c r="K5" t="s">
        <v>28</v>
      </c>
      <c r="O5" s="2">
        <v>0.33333333333333331</v>
      </c>
      <c r="P5" s="2">
        <v>0.70833333333333337</v>
      </c>
    </row>
    <row r="6" spans="1:25" x14ac:dyDescent="0.3">
      <c r="A6">
        <v>5</v>
      </c>
      <c r="B6" t="s">
        <v>38</v>
      </c>
      <c r="C6" t="s">
        <v>26</v>
      </c>
      <c r="D6" t="s">
        <v>39</v>
      </c>
      <c r="H6" s="1">
        <v>46329</v>
      </c>
      <c r="I6" t="s">
        <v>28</v>
      </c>
      <c r="J6" t="s">
        <v>40</v>
      </c>
      <c r="K6" t="s">
        <v>28</v>
      </c>
      <c r="O6" s="2">
        <v>0.33333333333333331</v>
      </c>
      <c r="P6" s="2">
        <v>0.70833333333333337</v>
      </c>
    </row>
    <row r="7" spans="1:25" x14ac:dyDescent="0.3">
      <c r="A7">
        <v>6</v>
      </c>
      <c r="B7" t="s">
        <v>41</v>
      </c>
      <c r="C7" t="s">
        <v>26</v>
      </c>
      <c r="D7" t="s">
        <v>42</v>
      </c>
      <c r="H7" t="s">
        <v>43</v>
      </c>
      <c r="I7" t="s">
        <v>28</v>
      </c>
      <c r="J7" t="s">
        <v>44</v>
      </c>
      <c r="K7" t="s">
        <v>28</v>
      </c>
      <c r="O7" s="2">
        <v>0.33333333333333331</v>
      </c>
      <c r="P7" s="2">
        <v>0.70833333333333337</v>
      </c>
    </row>
    <row r="8" spans="1:25" x14ac:dyDescent="0.3">
      <c r="A8">
        <v>7</v>
      </c>
      <c r="B8" t="s">
        <v>45</v>
      </c>
      <c r="C8" t="s">
        <v>26</v>
      </c>
      <c r="D8" t="s">
        <v>46</v>
      </c>
      <c r="H8" s="1">
        <v>46329</v>
      </c>
      <c r="I8" t="s">
        <v>28</v>
      </c>
      <c r="J8" t="s">
        <v>47</v>
      </c>
      <c r="K8" t="s">
        <v>28</v>
      </c>
      <c r="O8" s="2">
        <v>0.33333333333333331</v>
      </c>
      <c r="P8" s="2">
        <v>0.70833333333333337</v>
      </c>
    </row>
    <row r="9" spans="1:25" x14ac:dyDescent="0.3">
      <c r="A9">
        <v>8</v>
      </c>
      <c r="B9" t="s">
        <v>48</v>
      </c>
      <c r="C9" t="s">
        <v>26</v>
      </c>
      <c r="D9" t="s">
        <v>49</v>
      </c>
      <c r="H9" t="s">
        <v>43</v>
      </c>
      <c r="I9" t="s">
        <v>28</v>
      </c>
      <c r="J9" s="1">
        <v>46300</v>
      </c>
      <c r="K9" t="s">
        <v>28</v>
      </c>
      <c r="O9" s="2">
        <v>0.33333333333333331</v>
      </c>
      <c r="P9" s="2">
        <v>0.70833333333333337</v>
      </c>
    </row>
    <row r="10" spans="1:25" x14ac:dyDescent="0.3">
      <c r="A10">
        <v>9</v>
      </c>
      <c r="B10" t="s">
        <v>50</v>
      </c>
      <c r="C10" t="s">
        <v>26</v>
      </c>
      <c r="D10" t="s">
        <v>51</v>
      </c>
      <c r="H10" t="s">
        <v>43</v>
      </c>
      <c r="I10" t="s">
        <v>28</v>
      </c>
      <c r="J10" t="s">
        <v>52</v>
      </c>
      <c r="K10" t="s">
        <v>28</v>
      </c>
      <c r="O10" s="2">
        <v>0.33333333333333331</v>
      </c>
      <c r="P10" s="2">
        <v>0.70833333333333337</v>
      </c>
    </row>
    <row r="11" spans="1:25" x14ac:dyDescent="0.3">
      <c r="A11">
        <v>10</v>
      </c>
      <c r="B11" t="s">
        <v>53</v>
      </c>
      <c r="C11" t="s">
        <v>26</v>
      </c>
      <c r="D11" t="s">
        <v>51</v>
      </c>
      <c r="H11" t="s">
        <v>43</v>
      </c>
      <c r="I11" t="s">
        <v>28</v>
      </c>
      <c r="J11" t="s">
        <v>52</v>
      </c>
      <c r="K11" t="s">
        <v>28</v>
      </c>
      <c r="O11" s="2">
        <v>0.33333333333333331</v>
      </c>
      <c r="P11" s="2">
        <v>0.70833333333333337</v>
      </c>
    </row>
    <row r="12" spans="1:25" x14ac:dyDescent="0.3">
      <c r="A12">
        <v>11</v>
      </c>
      <c r="B12" t="s">
        <v>54</v>
      </c>
      <c r="C12" t="s">
        <v>26</v>
      </c>
      <c r="D12" t="s">
        <v>55</v>
      </c>
      <c r="H12" t="s">
        <v>43</v>
      </c>
      <c r="I12" t="s">
        <v>28</v>
      </c>
      <c r="J12" t="s">
        <v>37</v>
      </c>
      <c r="K12" t="s">
        <v>28</v>
      </c>
      <c r="O12" s="2">
        <v>0.33333333333333331</v>
      </c>
      <c r="P12" s="2">
        <v>0.70833333333333337</v>
      </c>
    </row>
    <row r="13" spans="1:25" x14ac:dyDescent="0.3">
      <c r="A13">
        <v>12</v>
      </c>
      <c r="B13" t="s">
        <v>56</v>
      </c>
      <c r="C13" t="s">
        <v>26</v>
      </c>
      <c r="D13" t="s">
        <v>31</v>
      </c>
      <c r="H13" t="s">
        <v>43</v>
      </c>
      <c r="I13" t="s">
        <v>28</v>
      </c>
      <c r="J13" t="s">
        <v>57</v>
      </c>
      <c r="K13" t="s">
        <v>28</v>
      </c>
      <c r="O13" s="2">
        <v>0.33333333333333331</v>
      </c>
      <c r="P13" s="2">
        <v>0.70833333333333337</v>
      </c>
    </row>
    <row r="14" spans="1:25" x14ac:dyDescent="0.3">
      <c r="A14">
        <v>13</v>
      </c>
      <c r="B14" t="s">
        <v>58</v>
      </c>
      <c r="C14" t="s">
        <v>26</v>
      </c>
      <c r="D14" t="s">
        <v>31</v>
      </c>
      <c r="H14" t="s">
        <v>43</v>
      </c>
      <c r="I14" t="s">
        <v>28</v>
      </c>
      <c r="J14" t="s">
        <v>57</v>
      </c>
      <c r="K14" t="s">
        <v>28</v>
      </c>
      <c r="O14" s="2">
        <v>0.33333333333333331</v>
      </c>
      <c r="P14" s="2">
        <v>0.70833333333333337</v>
      </c>
    </row>
    <row r="15" spans="1:25" x14ac:dyDescent="0.3">
      <c r="A15">
        <v>14</v>
      </c>
      <c r="B15" t="s">
        <v>59</v>
      </c>
      <c r="C15" t="s">
        <v>26</v>
      </c>
      <c r="D15" t="s">
        <v>31</v>
      </c>
      <c r="H15" t="s">
        <v>43</v>
      </c>
      <c r="I15" t="s">
        <v>28</v>
      </c>
      <c r="J15" t="s">
        <v>57</v>
      </c>
      <c r="K15" t="s">
        <v>28</v>
      </c>
      <c r="O15" s="2">
        <v>0.33333333333333331</v>
      </c>
      <c r="P15" s="2">
        <v>0.70833333333333337</v>
      </c>
    </row>
    <row r="16" spans="1:25" x14ac:dyDescent="0.3">
      <c r="A16">
        <v>15</v>
      </c>
      <c r="B16" t="s">
        <v>60</v>
      </c>
      <c r="C16" t="s">
        <v>26</v>
      </c>
      <c r="D16" t="s">
        <v>61</v>
      </c>
      <c r="H16" t="s">
        <v>43</v>
      </c>
      <c r="I16" t="s">
        <v>28</v>
      </c>
      <c r="J16" t="s">
        <v>62</v>
      </c>
      <c r="K16" t="s">
        <v>28</v>
      </c>
      <c r="O16" s="2">
        <v>0.33333333333333331</v>
      </c>
      <c r="P16" s="2">
        <v>0.70833333333333337</v>
      </c>
    </row>
    <row r="17" spans="1:20" x14ac:dyDescent="0.3">
      <c r="A17">
        <v>16</v>
      </c>
      <c r="B17" t="s">
        <v>63</v>
      </c>
      <c r="C17" t="s">
        <v>26</v>
      </c>
      <c r="D17" t="s">
        <v>51</v>
      </c>
      <c r="H17" t="s">
        <v>43</v>
      </c>
      <c r="I17" t="s">
        <v>28</v>
      </c>
      <c r="J17" t="s">
        <v>52</v>
      </c>
      <c r="K17" t="s">
        <v>28</v>
      </c>
      <c r="O17" s="2">
        <v>0.33333333333333331</v>
      </c>
      <c r="P17" s="2">
        <v>0.70833333333333337</v>
      </c>
    </row>
    <row r="18" spans="1:20" x14ac:dyDescent="0.3">
      <c r="A18">
        <v>17</v>
      </c>
      <c r="B18" t="s">
        <v>64</v>
      </c>
      <c r="C18" t="s">
        <v>26</v>
      </c>
      <c r="D18" t="s">
        <v>65</v>
      </c>
      <c r="H18" s="1">
        <v>46299</v>
      </c>
      <c r="I18" t="s">
        <v>28</v>
      </c>
      <c r="J18" t="s">
        <v>37</v>
      </c>
      <c r="K18" t="s">
        <v>28</v>
      </c>
      <c r="O18" s="2">
        <v>0.33333333333333331</v>
      </c>
      <c r="P18" s="2">
        <v>0.70833333333333337</v>
      </c>
    </row>
    <row r="19" spans="1:20" x14ac:dyDescent="0.3">
      <c r="A19">
        <v>18</v>
      </c>
      <c r="B19" t="s">
        <v>66</v>
      </c>
      <c r="C19" t="s">
        <v>26</v>
      </c>
      <c r="D19" t="s">
        <v>42</v>
      </c>
      <c r="H19" s="1">
        <v>46299</v>
      </c>
      <c r="I19" t="s">
        <v>28</v>
      </c>
      <c r="J19" t="s">
        <v>47</v>
      </c>
      <c r="K19" t="s">
        <v>28</v>
      </c>
      <c r="O19" s="2">
        <v>0.33333333333333331</v>
      </c>
      <c r="P19" s="2">
        <v>0.70833333333333337</v>
      </c>
      <c r="S19">
        <v>2</v>
      </c>
    </row>
    <row r="20" spans="1:20" x14ac:dyDescent="0.3">
      <c r="A20">
        <v>19</v>
      </c>
      <c r="B20" t="s">
        <v>67</v>
      </c>
      <c r="C20" t="s">
        <v>26</v>
      </c>
      <c r="D20" t="s">
        <v>42</v>
      </c>
      <c r="H20" t="s">
        <v>68</v>
      </c>
      <c r="I20" t="s">
        <v>28</v>
      </c>
      <c r="J20" t="s">
        <v>69</v>
      </c>
      <c r="K20" t="s">
        <v>28</v>
      </c>
      <c r="O20" s="2">
        <v>0.33333333333333331</v>
      </c>
      <c r="P20" s="2">
        <v>0.70833333333333337</v>
      </c>
      <c r="S20" t="s">
        <v>70</v>
      </c>
    </row>
    <row r="21" spans="1:20" x14ac:dyDescent="0.3">
      <c r="A21">
        <v>20</v>
      </c>
      <c r="B21" t="s">
        <v>71</v>
      </c>
      <c r="C21" t="s">
        <v>26</v>
      </c>
      <c r="D21" t="s">
        <v>42</v>
      </c>
      <c r="H21" s="1">
        <v>46361</v>
      </c>
      <c r="I21" t="s">
        <v>28</v>
      </c>
      <c r="J21" t="s">
        <v>72</v>
      </c>
      <c r="K21" t="s">
        <v>28</v>
      </c>
      <c r="O21" s="2">
        <v>0.33333333333333331</v>
      </c>
      <c r="P21" s="2">
        <v>0.70833333333333337</v>
      </c>
      <c r="S21" t="s">
        <v>73</v>
      </c>
    </row>
    <row r="22" spans="1:20" x14ac:dyDescent="0.3">
      <c r="A22">
        <v>21</v>
      </c>
      <c r="B22" t="s">
        <v>74</v>
      </c>
      <c r="C22" t="s">
        <v>26</v>
      </c>
      <c r="D22" t="s">
        <v>42</v>
      </c>
      <c r="H22" t="s">
        <v>75</v>
      </c>
      <c r="I22" t="s">
        <v>28</v>
      </c>
      <c r="J22" t="s">
        <v>76</v>
      </c>
      <c r="K22" t="s">
        <v>28</v>
      </c>
      <c r="O22" s="2">
        <v>0.33333333333333331</v>
      </c>
      <c r="P22" s="2">
        <v>0.70833333333333337</v>
      </c>
      <c r="S22" t="s">
        <v>77</v>
      </c>
      <c r="T22" s="48" t="s">
        <v>209</v>
      </c>
    </row>
    <row r="23" spans="1:20" x14ac:dyDescent="0.3">
      <c r="A23">
        <v>22</v>
      </c>
      <c r="B23" t="s">
        <v>78</v>
      </c>
      <c r="C23" t="s">
        <v>26</v>
      </c>
      <c r="D23" t="s">
        <v>31</v>
      </c>
      <c r="H23" t="s">
        <v>79</v>
      </c>
      <c r="I23" t="s">
        <v>28</v>
      </c>
      <c r="J23" t="s">
        <v>37</v>
      </c>
      <c r="K23" t="s">
        <v>28</v>
      </c>
      <c r="O23" s="2">
        <v>0.33333333333333331</v>
      </c>
      <c r="P23" s="2">
        <v>0.70833333333333337</v>
      </c>
      <c r="S23">
        <v>21</v>
      </c>
    </row>
    <row r="24" spans="1:20" x14ac:dyDescent="0.3">
      <c r="A24">
        <v>23</v>
      </c>
      <c r="B24" t="s">
        <v>80</v>
      </c>
      <c r="C24" t="s">
        <v>26</v>
      </c>
      <c r="D24" t="s">
        <v>81</v>
      </c>
      <c r="H24" s="1">
        <v>46027</v>
      </c>
      <c r="I24" t="s">
        <v>28</v>
      </c>
      <c r="J24" t="s">
        <v>82</v>
      </c>
      <c r="K24" t="s">
        <v>28</v>
      </c>
      <c r="O24" s="2">
        <v>0.33333333333333331</v>
      </c>
      <c r="P24" s="2">
        <v>0.70833333333333337</v>
      </c>
    </row>
    <row r="25" spans="1:20" x14ac:dyDescent="0.3">
      <c r="A25">
        <v>24</v>
      </c>
      <c r="B25" t="s">
        <v>83</v>
      </c>
      <c r="C25" t="s">
        <v>26</v>
      </c>
      <c r="D25" t="s">
        <v>84</v>
      </c>
      <c r="H25" t="s">
        <v>85</v>
      </c>
      <c r="I25" t="s">
        <v>28</v>
      </c>
      <c r="J25" t="s">
        <v>82</v>
      </c>
      <c r="K25" t="s">
        <v>28</v>
      </c>
      <c r="O25" s="2">
        <v>0.33333333333333331</v>
      </c>
      <c r="P25" s="2">
        <v>0.70833333333333337</v>
      </c>
      <c r="S25" t="s">
        <v>86</v>
      </c>
    </row>
    <row r="26" spans="1:20" x14ac:dyDescent="0.3">
      <c r="A26">
        <v>25</v>
      </c>
      <c r="B26" t="s">
        <v>87</v>
      </c>
      <c r="C26" t="s">
        <v>26</v>
      </c>
      <c r="D26" t="s">
        <v>84</v>
      </c>
      <c r="H26" s="1">
        <v>46058</v>
      </c>
      <c r="I26" t="s">
        <v>28</v>
      </c>
      <c r="J26" s="1">
        <v>46086</v>
      </c>
      <c r="K26" t="s">
        <v>28</v>
      </c>
      <c r="O26" s="2">
        <v>0.33333333333333331</v>
      </c>
      <c r="P26" s="2">
        <v>0.70833333333333337</v>
      </c>
      <c r="S26" t="s">
        <v>88</v>
      </c>
      <c r="T26" s="48" t="s">
        <v>210</v>
      </c>
    </row>
    <row r="27" spans="1:20" x14ac:dyDescent="0.3">
      <c r="A27">
        <v>26</v>
      </c>
      <c r="B27" t="s">
        <v>89</v>
      </c>
      <c r="C27" t="s">
        <v>26</v>
      </c>
      <c r="D27" t="s">
        <v>90</v>
      </c>
      <c r="H27" s="1">
        <v>46027</v>
      </c>
      <c r="I27" t="s">
        <v>28</v>
      </c>
      <c r="J27" s="1">
        <v>46117</v>
      </c>
      <c r="K27" t="s">
        <v>28</v>
      </c>
      <c r="O27" s="2">
        <v>0.33333333333333331</v>
      </c>
      <c r="P27" s="2">
        <v>0.70833333333333337</v>
      </c>
      <c r="S27">
        <v>19</v>
      </c>
    </row>
    <row r="28" spans="1:20" x14ac:dyDescent="0.3">
      <c r="A28">
        <v>27</v>
      </c>
      <c r="B28" t="s">
        <v>91</v>
      </c>
      <c r="C28" t="s">
        <v>26</v>
      </c>
      <c r="D28" t="s">
        <v>92</v>
      </c>
      <c r="H28" s="1">
        <v>46147</v>
      </c>
      <c r="I28" t="s">
        <v>28</v>
      </c>
      <c r="J28" s="1">
        <v>46208</v>
      </c>
      <c r="K28" t="s">
        <v>28</v>
      </c>
      <c r="O28" s="2">
        <v>0.33333333333333331</v>
      </c>
      <c r="P28" s="2">
        <v>0.70833333333333337</v>
      </c>
      <c r="S28" t="s">
        <v>93</v>
      </c>
    </row>
    <row r="29" spans="1:20" x14ac:dyDescent="0.3">
      <c r="A29">
        <v>28</v>
      </c>
      <c r="B29" t="s">
        <v>94</v>
      </c>
      <c r="C29" t="s">
        <v>26</v>
      </c>
      <c r="D29" t="s">
        <v>92</v>
      </c>
      <c r="H29" s="1">
        <v>46270</v>
      </c>
      <c r="I29" t="s">
        <v>28</v>
      </c>
      <c r="J29" s="1">
        <v>46331</v>
      </c>
      <c r="K29" t="s">
        <v>28</v>
      </c>
      <c r="O29" s="2">
        <v>0.33333333333333331</v>
      </c>
      <c r="P29" s="2">
        <v>0.70833333333333337</v>
      </c>
      <c r="S29" t="s">
        <v>95</v>
      </c>
    </row>
    <row r="30" spans="1:20" x14ac:dyDescent="0.3">
      <c r="A30">
        <v>29</v>
      </c>
      <c r="B30" t="s">
        <v>96</v>
      </c>
      <c r="C30" t="s">
        <v>26</v>
      </c>
      <c r="D30" t="s">
        <v>33</v>
      </c>
      <c r="H30" s="1">
        <v>46178</v>
      </c>
      <c r="I30" t="s">
        <v>28</v>
      </c>
      <c r="J30" s="1">
        <v>46331</v>
      </c>
      <c r="K30" t="s">
        <v>28</v>
      </c>
      <c r="O30" s="2">
        <v>0.33333333333333331</v>
      </c>
      <c r="P30" s="2">
        <v>0.70833333333333337</v>
      </c>
      <c r="S30" t="s">
        <v>97</v>
      </c>
    </row>
    <row r="31" spans="1:20" x14ac:dyDescent="0.3">
      <c r="A31">
        <v>30</v>
      </c>
      <c r="B31" t="s">
        <v>98</v>
      </c>
      <c r="C31" t="s">
        <v>26</v>
      </c>
      <c r="D31" t="s">
        <v>90</v>
      </c>
      <c r="H31" s="1">
        <v>46270</v>
      </c>
      <c r="I31" t="s">
        <v>28</v>
      </c>
      <c r="J31" s="1">
        <v>46361</v>
      </c>
      <c r="K31" t="s">
        <v>28</v>
      </c>
      <c r="O31" s="2">
        <v>0.33333333333333331</v>
      </c>
      <c r="P31" s="2">
        <v>0.70833333333333337</v>
      </c>
    </row>
    <row r="32" spans="1:20" x14ac:dyDescent="0.3">
      <c r="A32">
        <v>31</v>
      </c>
      <c r="B32" t="s">
        <v>99</v>
      </c>
      <c r="C32" t="s">
        <v>26</v>
      </c>
      <c r="D32" t="s">
        <v>100</v>
      </c>
      <c r="H32" s="1">
        <v>46270</v>
      </c>
      <c r="I32" t="s">
        <v>28</v>
      </c>
      <c r="J32" s="1">
        <v>46270</v>
      </c>
      <c r="K32" t="s">
        <v>28</v>
      </c>
      <c r="O32" s="2">
        <v>0.33333333333333331</v>
      </c>
      <c r="P32" s="2">
        <v>0.70833333333333337</v>
      </c>
      <c r="S32" t="s">
        <v>101</v>
      </c>
    </row>
    <row r="33" spans="1:20" x14ac:dyDescent="0.3">
      <c r="A33">
        <v>32</v>
      </c>
      <c r="B33" t="s">
        <v>102</v>
      </c>
      <c r="C33" t="s">
        <v>26</v>
      </c>
      <c r="D33" t="s">
        <v>100</v>
      </c>
      <c r="H33" s="1">
        <v>46331</v>
      </c>
      <c r="I33" t="s">
        <v>28</v>
      </c>
      <c r="J33" s="1">
        <v>46331</v>
      </c>
      <c r="K33" t="s">
        <v>28</v>
      </c>
      <c r="O33" s="2">
        <v>0.33333333333333331</v>
      </c>
      <c r="P33" s="2">
        <v>0.70833333333333337</v>
      </c>
      <c r="S33" t="s">
        <v>103</v>
      </c>
      <c r="T33" s="48">
        <v>31</v>
      </c>
    </row>
    <row r="34" spans="1:20" x14ac:dyDescent="0.3">
      <c r="A34">
        <v>33</v>
      </c>
      <c r="B34" t="s">
        <v>104</v>
      </c>
      <c r="C34" t="s">
        <v>26</v>
      </c>
      <c r="D34" t="s">
        <v>100</v>
      </c>
      <c r="H34" s="1">
        <v>46361</v>
      </c>
      <c r="I34" t="s">
        <v>28</v>
      </c>
      <c r="J34" s="1">
        <v>46361</v>
      </c>
      <c r="K34" t="s">
        <v>28</v>
      </c>
      <c r="O34" s="2">
        <v>0.33333333333333331</v>
      </c>
      <c r="P34" s="2">
        <v>0.70833333333333337</v>
      </c>
      <c r="S34">
        <v>32</v>
      </c>
    </row>
    <row r="35" spans="1:20" x14ac:dyDescent="0.3">
      <c r="A35">
        <v>34</v>
      </c>
      <c r="B35" t="s">
        <v>105</v>
      </c>
      <c r="C35" t="s">
        <v>26</v>
      </c>
      <c r="D35" t="s">
        <v>106</v>
      </c>
      <c r="H35" t="s">
        <v>107</v>
      </c>
      <c r="I35" t="s">
        <v>28</v>
      </c>
      <c r="J35" t="s">
        <v>108</v>
      </c>
      <c r="K35" t="s">
        <v>28</v>
      </c>
      <c r="O35" s="2">
        <v>0.33333333333333331</v>
      </c>
      <c r="P35" s="2">
        <v>0.70833333333333337</v>
      </c>
    </row>
    <row r="36" spans="1:20" x14ac:dyDescent="0.3">
      <c r="A36">
        <v>35</v>
      </c>
      <c r="B36" t="s">
        <v>109</v>
      </c>
      <c r="C36" t="s">
        <v>26</v>
      </c>
      <c r="D36" t="s">
        <v>42</v>
      </c>
      <c r="H36" t="s">
        <v>107</v>
      </c>
      <c r="I36" t="s">
        <v>28</v>
      </c>
      <c r="J36" s="1">
        <v>46147</v>
      </c>
      <c r="K36" t="s">
        <v>28</v>
      </c>
      <c r="O36" s="2">
        <v>0.33333333333333331</v>
      </c>
      <c r="P36" s="2">
        <v>0.70833333333333337</v>
      </c>
      <c r="S36" t="s">
        <v>110</v>
      </c>
    </row>
    <row r="37" spans="1:20" x14ac:dyDescent="0.3">
      <c r="A37">
        <v>36</v>
      </c>
      <c r="B37" t="s">
        <v>111</v>
      </c>
      <c r="C37" t="s">
        <v>26</v>
      </c>
      <c r="D37" t="s">
        <v>100</v>
      </c>
      <c r="H37" t="s">
        <v>75</v>
      </c>
      <c r="I37" t="s">
        <v>28</v>
      </c>
      <c r="J37" t="s">
        <v>75</v>
      </c>
      <c r="K37" t="s">
        <v>28</v>
      </c>
      <c r="O37" s="2">
        <v>0.33333333333333331</v>
      </c>
      <c r="P37" s="2">
        <v>0.70833333333333337</v>
      </c>
      <c r="S37" t="s">
        <v>112</v>
      </c>
    </row>
    <row r="38" spans="1:20" x14ac:dyDescent="0.3">
      <c r="A38">
        <v>37</v>
      </c>
      <c r="B38" t="s">
        <v>113</v>
      </c>
      <c r="C38" t="s">
        <v>26</v>
      </c>
      <c r="D38" t="s">
        <v>100</v>
      </c>
      <c r="H38" t="s">
        <v>114</v>
      </c>
      <c r="I38" t="s">
        <v>28</v>
      </c>
      <c r="J38" t="s">
        <v>114</v>
      </c>
      <c r="K38" t="s">
        <v>28</v>
      </c>
      <c r="O38" s="2">
        <v>0.33333333333333331</v>
      </c>
      <c r="P38" s="2">
        <v>0.70833333333333337</v>
      </c>
      <c r="S38" t="s">
        <v>115</v>
      </c>
      <c r="T38" s="48">
        <v>36</v>
      </c>
    </row>
    <row r="39" spans="1:20" x14ac:dyDescent="0.3">
      <c r="A39">
        <v>38</v>
      </c>
      <c r="B39" t="s">
        <v>116</v>
      </c>
      <c r="C39" t="s">
        <v>26</v>
      </c>
      <c r="D39" t="s">
        <v>84</v>
      </c>
      <c r="H39" t="s">
        <v>117</v>
      </c>
      <c r="I39" t="s">
        <v>28</v>
      </c>
      <c r="J39" t="s">
        <v>118</v>
      </c>
      <c r="K39" t="s">
        <v>28</v>
      </c>
      <c r="O39" s="2">
        <v>0.33333333333333331</v>
      </c>
      <c r="P39" s="2">
        <v>0.70833333333333337</v>
      </c>
      <c r="S39">
        <v>37</v>
      </c>
    </row>
    <row r="40" spans="1:20" x14ac:dyDescent="0.3">
      <c r="A40">
        <v>39</v>
      </c>
      <c r="B40" t="s">
        <v>119</v>
      </c>
      <c r="C40" t="s">
        <v>26</v>
      </c>
      <c r="D40" t="s">
        <v>84</v>
      </c>
      <c r="H40" t="s">
        <v>72</v>
      </c>
      <c r="I40" t="s">
        <v>28</v>
      </c>
      <c r="J40" t="s">
        <v>108</v>
      </c>
      <c r="K40" t="s">
        <v>28</v>
      </c>
      <c r="O40" s="2">
        <v>0.33333333333333331</v>
      </c>
      <c r="P40" s="2">
        <v>0.70833333333333337</v>
      </c>
      <c r="S40" t="s">
        <v>120</v>
      </c>
    </row>
    <row r="41" spans="1:20" x14ac:dyDescent="0.3">
      <c r="A41">
        <v>40</v>
      </c>
      <c r="B41" t="s">
        <v>121</v>
      </c>
      <c r="C41" t="s">
        <v>26</v>
      </c>
      <c r="D41" t="s">
        <v>100</v>
      </c>
      <c r="H41" t="s">
        <v>62</v>
      </c>
      <c r="I41" t="s">
        <v>28</v>
      </c>
      <c r="J41" t="s">
        <v>62</v>
      </c>
      <c r="K41" t="s">
        <v>28</v>
      </c>
      <c r="O41" s="2">
        <v>0.33333333333333331</v>
      </c>
      <c r="P41" s="2">
        <v>0.70833333333333337</v>
      </c>
      <c r="S41">
        <v>38</v>
      </c>
    </row>
    <row r="42" spans="1:20" x14ac:dyDescent="0.3">
      <c r="A42">
        <v>41</v>
      </c>
      <c r="B42" t="s">
        <v>122</v>
      </c>
      <c r="C42" t="s">
        <v>26</v>
      </c>
      <c r="D42" t="s">
        <v>49</v>
      </c>
      <c r="H42" t="s">
        <v>107</v>
      </c>
      <c r="I42" t="s">
        <v>28</v>
      </c>
      <c r="J42" t="s">
        <v>62</v>
      </c>
      <c r="K42" t="s">
        <v>28</v>
      </c>
      <c r="O42" s="2">
        <v>0.33333333333333331</v>
      </c>
      <c r="P42" s="2">
        <v>0.70833333333333337</v>
      </c>
    </row>
    <row r="43" spans="1:20" x14ac:dyDescent="0.3">
      <c r="A43">
        <v>42</v>
      </c>
      <c r="B43" t="s">
        <v>123</v>
      </c>
      <c r="C43" t="s">
        <v>26</v>
      </c>
      <c r="D43" t="s">
        <v>42</v>
      </c>
      <c r="H43" t="s">
        <v>107</v>
      </c>
      <c r="I43" t="s">
        <v>28</v>
      </c>
      <c r="J43" s="1">
        <v>46147</v>
      </c>
      <c r="K43" t="s">
        <v>28</v>
      </c>
      <c r="O43" s="2">
        <v>0.33333333333333331</v>
      </c>
      <c r="P43" s="2">
        <v>0.70833333333333337</v>
      </c>
      <c r="S43" t="s">
        <v>110</v>
      </c>
    </row>
    <row r="44" spans="1:20" x14ac:dyDescent="0.3">
      <c r="A44">
        <v>43</v>
      </c>
      <c r="B44" t="s">
        <v>124</v>
      </c>
      <c r="C44" t="s">
        <v>26</v>
      </c>
      <c r="D44" t="s">
        <v>100</v>
      </c>
      <c r="H44" t="s">
        <v>75</v>
      </c>
      <c r="I44" t="s">
        <v>28</v>
      </c>
      <c r="J44" t="s">
        <v>75</v>
      </c>
      <c r="K44" t="s">
        <v>28</v>
      </c>
      <c r="O44" s="2">
        <v>0.33333333333333331</v>
      </c>
      <c r="P44" s="2">
        <v>0.70833333333333337</v>
      </c>
      <c r="S44" t="s">
        <v>125</v>
      </c>
    </row>
    <row r="45" spans="1:20" x14ac:dyDescent="0.3">
      <c r="A45">
        <v>44</v>
      </c>
      <c r="B45" t="s">
        <v>126</v>
      </c>
      <c r="C45" t="s">
        <v>26</v>
      </c>
      <c r="D45" t="s">
        <v>100</v>
      </c>
      <c r="H45" t="s">
        <v>114</v>
      </c>
      <c r="I45" t="s">
        <v>28</v>
      </c>
      <c r="J45" t="s">
        <v>114</v>
      </c>
      <c r="K45" t="s">
        <v>28</v>
      </c>
      <c r="O45" s="2">
        <v>0.33333333333333331</v>
      </c>
      <c r="P45" s="2">
        <v>0.70833333333333337</v>
      </c>
      <c r="S45">
        <v>43</v>
      </c>
    </row>
    <row r="46" spans="1:20" x14ac:dyDescent="0.3">
      <c r="A46">
        <v>45</v>
      </c>
      <c r="B46" t="s">
        <v>127</v>
      </c>
      <c r="C46" t="s">
        <v>26</v>
      </c>
      <c r="D46" t="s">
        <v>100</v>
      </c>
      <c r="H46" t="s">
        <v>117</v>
      </c>
      <c r="I46" t="s">
        <v>28</v>
      </c>
      <c r="J46" t="s">
        <v>117</v>
      </c>
      <c r="K46" t="s">
        <v>28</v>
      </c>
      <c r="O46" s="2">
        <v>0.33333333333333331</v>
      </c>
      <c r="P46" s="2">
        <v>0.70833333333333337</v>
      </c>
      <c r="S46" t="s">
        <v>128</v>
      </c>
    </row>
    <row r="47" spans="1:20" x14ac:dyDescent="0.3">
      <c r="A47">
        <v>46</v>
      </c>
      <c r="B47" t="s">
        <v>129</v>
      </c>
      <c r="C47" t="s">
        <v>26</v>
      </c>
      <c r="D47" t="s">
        <v>100</v>
      </c>
      <c r="H47" t="s">
        <v>118</v>
      </c>
      <c r="I47" t="s">
        <v>28</v>
      </c>
      <c r="J47" t="s">
        <v>118</v>
      </c>
      <c r="K47" t="s">
        <v>28</v>
      </c>
      <c r="O47" s="2">
        <v>0.33333333333333331</v>
      </c>
      <c r="P47" s="2">
        <v>0.70833333333333337</v>
      </c>
      <c r="S47">
        <v>45</v>
      </c>
    </row>
    <row r="48" spans="1:20" x14ac:dyDescent="0.3">
      <c r="A48">
        <v>47</v>
      </c>
      <c r="B48" t="s">
        <v>130</v>
      </c>
      <c r="C48" t="s">
        <v>26</v>
      </c>
      <c r="D48" t="s">
        <v>100</v>
      </c>
      <c r="H48" t="s">
        <v>62</v>
      </c>
      <c r="I48" t="s">
        <v>28</v>
      </c>
      <c r="J48" t="s">
        <v>62</v>
      </c>
      <c r="K48" t="s">
        <v>28</v>
      </c>
      <c r="O48" s="2">
        <v>0.33333333333333331</v>
      </c>
      <c r="P48" s="2">
        <v>0.70833333333333337</v>
      </c>
      <c r="S48">
        <v>46</v>
      </c>
    </row>
    <row r="49" spans="1:19" x14ac:dyDescent="0.3">
      <c r="A49">
        <v>48</v>
      </c>
      <c r="B49" t="s">
        <v>131</v>
      </c>
      <c r="C49" t="s">
        <v>26</v>
      </c>
      <c r="D49" t="s">
        <v>46</v>
      </c>
      <c r="H49" t="s">
        <v>107</v>
      </c>
      <c r="I49" t="s">
        <v>28</v>
      </c>
      <c r="J49" s="1">
        <v>46118</v>
      </c>
      <c r="K49" t="s">
        <v>28</v>
      </c>
      <c r="O49" s="2">
        <v>0.33333333333333331</v>
      </c>
      <c r="P49" s="2">
        <v>0.70833333333333337</v>
      </c>
    </row>
    <row r="50" spans="1:19" x14ac:dyDescent="0.3">
      <c r="A50">
        <v>49</v>
      </c>
      <c r="B50" t="s">
        <v>132</v>
      </c>
      <c r="C50" t="s">
        <v>26</v>
      </c>
      <c r="D50" t="s">
        <v>42</v>
      </c>
      <c r="H50" t="s">
        <v>107</v>
      </c>
      <c r="I50" t="s">
        <v>28</v>
      </c>
      <c r="J50" s="1">
        <v>46147</v>
      </c>
      <c r="K50" t="s">
        <v>28</v>
      </c>
      <c r="O50" s="2">
        <v>0.33333333333333331</v>
      </c>
      <c r="P50" s="2">
        <v>0.70833333333333337</v>
      </c>
      <c r="S50" t="s">
        <v>110</v>
      </c>
    </row>
    <row r="51" spans="1:19" x14ac:dyDescent="0.3">
      <c r="A51">
        <v>50</v>
      </c>
      <c r="B51" t="s">
        <v>133</v>
      </c>
      <c r="C51" t="s">
        <v>26</v>
      </c>
      <c r="D51" t="s">
        <v>100</v>
      </c>
      <c r="H51" t="s">
        <v>134</v>
      </c>
      <c r="I51" t="s">
        <v>28</v>
      </c>
      <c r="J51" t="s">
        <v>134</v>
      </c>
      <c r="K51" t="s">
        <v>28</v>
      </c>
      <c r="O51" s="2">
        <v>0.33333333333333331</v>
      </c>
      <c r="P51" s="2">
        <v>0.70833333333333337</v>
      </c>
      <c r="S51" t="s">
        <v>135</v>
      </c>
    </row>
    <row r="52" spans="1:19" x14ac:dyDescent="0.3">
      <c r="A52">
        <v>51</v>
      </c>
      <c r="B52" t="s">
        <v>136</v>
      </c>
      <c r="C52" t="s">
        <v>26</v>
      </c>
      <c r="D52" t="s">
        <v>100</v>
      </c>
      <c r="H52" s="1">
        <v>46028</v>
      </c>
      <c r="I52" t="s">
        <v>28</v>
      </c>
      <c r="J52" s="1">
        <v>46028</v>
      </c>
      <c r="K52" t="s">
        <v>28</v>
      </c>
      <c r="O52" s="2">
        <v>0.33333333333333331</v>
      </c>
      <c r="P52" s="2">
        <v>0.70833333333333337</v>
      </c>
      <c r="S52">
        <v>50</v>
      </c>
    </row>
    <row r="53" spans="1:19" x14ac:dyDescent="0.3">
      <c r="A53">
        <v>52</v>
      </c>
      <c r="B53" t="s">
        <v>137</v>
      </c>
      <c r="C53" t="s">
        <v>26</v>
      </c>
      <c r="D53" t="s">
        <v>100</v>
      </c>
      <c r="H53" s="1">
        <v>46059</v>
      </c>
      <c r="I53" t="s">
        <v>28</v>
      </c>
      <c r="J53" s="1">
        <v>46059</v>
      </c>
      <c r="K53" t="s">
        <v>28</v>
      </c>
      <c r="O53" s="2">
        <v>0.33333333333333331</v>
      </c>
      <c r="P53" s="2">
        <v>0.70833333333333337</v>
      </c>
      <c r="S53" t="s">
        <v>138</v>
      </c>
    </row>
    <row r="54" spans="1:19" x14ac:dyDescent="0.3">
      <c r="A54">
        <v>53</v>
      </c>
      <c r="B54" t="s">
        <v>139</v>
      </c>
      <c r="C54" t="s">
        <v>26</v>
      </c>
      <c r="D54" t="s">
        <v>100</v>
      </c>
      <c r="H54" s="1">
        <v>46087</v>
      </c>
      <c r="I54" t="s">
        <v>28</v>
      </c>
      <c r="J54" s="1">
        <v>46087</v>
      </c>
      <c r="K54" t="s">
        <v>28</v>
      </c>
      <c r="O54" s="2">
        <v>0.33333333333333331</v>
      </c>
      <c r="P54" s="2">
        <v>0.70833333333333337</v>
      </c>
      <c r="S54">
        <v>52</v>
      </c>
    </row>
    <row r="55" spans="1:19" x14ac:dyDescent="0.3">
      <c r="A55">
        <v>54</v>
      </c>
      <c r="B55" t="s">
        <v>140</v>
      </c>
      <c r="C55" t="s">
        <v>26</v>
      </c>
      <c r="D55" t="s">
        <v>100</v>
      </c>
      <c r="H55" s="1">
        <v>46118</v>
      </c>
      <c r="I55" t="s">
        <v>28</v>
      </c>
      <c r="J55" s="1">
        <v>46118</v>
      </c>
      <c r="K55" t="s">
        <v>28</v>
      </c>
      <c r="O55" s="2">
        <v>0.33333333333333331</v>
      </c>
      <c r="P55" s="2">
        <v>0.70833333333333337</v>
      </c>
      <c r="S55">
        <v>53</v>
      </c>
    </row>
    <row r="56" spans="1:19" x14ac:dyDescent="0.3">
      <c r="A56">
        <v>55</v>
      </c>
      <c r="B56" t="s">
        <v>141</v>
      </c>
      <c r="C56" t="s">
        <v>26</v>
      </c>
      <c r="D56" t="s">
        <v>142</v>
      </c>
      <c r="H56" t="s">
        <v>143</v>
      </c>
      <c r="I56" t="s">
        <v>28</v>
      </c>
      <c r="J56" t="s">
        <v>37</v>
      </c>
      <c r="K56" t="s">
        <v>28</v>
      </c>
      <c r="O56" s="2">
        <v>0.33333333333333331</v>
      </c>
      <c r="P56" s="2">
        <v>0.70833333333333337</v>
      </c>
    </row>
    <row r="57" spans="1:19" x14ac:dyDescent="0.3">
      <c r="A57">
        <v>56</v>
      </c>
      <c r="B57" t="s">
        <v>144</v>
      </c>
      <c r="C57" t="s">
        <v>26</v>
      </c>
      <c r="D57" t="s">
        <v>84</v>
      </c>
      <c r="H57" t="s">
        <v>143</v>
      </c>
      <c r="I57" t="s">
        <v>28</v>
      </c>
      <c r="J57" t="s">
        <v>145</v>
      </c>
      <c r="K57" t="s">
        <v>28</v>
      </c>
      <c r="O57" s="2">
        <v>0.33333333333333331</v>
      </c>
      <c r="P57" s="2">
        <v>0.70833333333333337</v>
      </c>
      <c r="S57" t="s">
        <v>146</v>
      </c>
    </row>
    <row r="58" spans="1:19" x14ac:dyDescent="0.3">
      <c r="A58">
        <v>57</v>
      </c>
      <c r="B58" t="s">
        <v>147</v>
      </c>
      <c r="C58" t="s">
        <v>26</v>
      </c>
      <c r="D58" t="s">
        <v>148</v>
      </c>
      <c r="H58" t="s">
        <v>149</v>
      </c>
      <c r="I58" t="s">
        <v>28</v>
      </c>
      <c r="J58" s="1">
        <v>46147</v>
      </c>
      <c r="K58" t="s">
        <v>28</v>
      </c>
      <c r="O58" s="2">
        <v>0.33333333333333331</v>
      </c>
      <c r="P58" s="2">
        <v>0.70833333333333337</v>
      </c>
      <c r="S58">
        <v>56</v>
      </c>
    </row>
    <row r="59" spans="1:19" x14ac:dyDescent="0.3">
      <c r="A59">
        <v>58</v>
      </c>
      <c r="B59" t="s">
        <v>150</v>
      </c>
      <c r="C59" t="s">
        <v>26</v>
      </c>
      <c r="D59" t="s">
        <v>151</v>
      </c>
      <c r="H59" s="1">
        <v>46178</v>
      </c>
      <c r="I59" t="s">
        <v>28</v>
      </c>
      <c r="J59" t="s">
        <v>76</v>
      </c>
      <c r="K59" t="s">
        <v>28</v>
      </c>
      <c r="O59" s="2">
        <v>0.33333333333333331</v>
      </c>
      <c r="P59" s="2">
        <v>0.70833333333333337</v>
      </c>
      <c r="S59">
        <v>57</v>
      </c>
    </row>
    <row r="60" spans="1:19" x14ac:dyDescent="0.3">
      <c r="A60">
        <v>59</v>
      </c>
      <c r="B60" t="s">
        <v>152</v>
      </c>
      <c r="C60" t="s">
        <v>26</v>
      </c>
      <c r="D60" t="s">
        <v>100</v>
      </c>
      <c r="H60" t="s">
        <v>79</v>
      </c>
      <c r="I60" t="s">
        <v>28</v>
      </c>
      <c r="J60" t="s">
        <v>79</v>
      </c>
      <c r="K60" t="s">
        <v>28</v>
      </c>
      <c r="O60" s="2">
        <v>0.33333333333333331</v>
      </c>
      <c r="P60" s="2">
        <v>0.70833333333333337</v>
      </c>
      <c r="S60">
        <v>58</v>
      </c>
    </row>
    <row r="61" spans="1:19" x14ac:dyDescent="0.3">
      <c r="A61">
        <v>60</v>
      </c>
      <c r="B61" t="s">
        <v>153</v>
      </c>
      <c r="C61" t="s">
        <v>26</v>
      </c>
      <c r="D61" t="s">
        <v>100</v>
      </c>
      <c r="H61" t="s">
        <v>85</v>
      </c>
      <c r="I61" t="s">
        <v>28</v>
      </c>
      <c r="J61" t="s">
        <v>85</v>
      </c>
      <c r="K61" t="s">
        <v>28</v>
      </c>
      <c r="O61" s="2">
        <v>0.33333333333333331</v>
      </c>
      <c r="P61" s="2">
        <v>0.70833333333333337</v>
      </c>
      <c r="S61">
        <v>59</v>
      </c>
    </row>
    <row r="62" spans="1:19" x14ac:dyDescent="0.3">
      <c r="A62">
        <v>61</v>
      </c>
      <c r="B62" t="s">
        <v>154</v>
      </c>
      <c r="C62" t="s">
        <v>26</v>
      </c>
      <c r="D62" t="s">
        <v>100</v>
      </c>
      <c r="H62" t="s">
        <v>82</v>
      </c>
      <c r="I62" t="s">
        <v>28</v>
      </c>
      <c r="J62" t="s">
        <v>82</v>
      </c>
      <c r="K62" t="s">
        <v>28</v>
      </c>
      <c r="O62" s="2">
        <v>0.33333333333333331</v>
      </c>
      <c r="P62" s="2">
        <v>0.70833333333333337</v>
      </c>
      <c r="S62">
        <v>60</v>
      </c>
    </row>
    <row r="63" spans="1:19" x14ac:dyDescent="0.3">
      <c r="A63">
        <v>62</v>
      </c>
      <c r="B63" t="s">
        <v>155</v>
      </c>
      <c r="C63" t="s">
        <v>26</v>
      </c>
      <c r="D63" t="s">
        <v>100</v>
      </c>
      <c r="H63" t="s">
        <v>156</v>
      </c>
      <c r="I63" t="s">
        <v>28</v>
      </c>
      <c r="J63" t="s">
        <v>156</v>
      </c>
      <c r="K63" t="s">
        <v>28</v>
      </c>
      <c r="O63" s="2">
        <v>0.33333333333333331</v>
      </c>
      <c r="P63" s="2">
        <v>0.70833333333333337</v>
      </c>
      <c r="S63">
        <v>61</v>
      </c>
    </row>
    <row r="64" spans="1:19" x14ac:dyDescent="0.3">
      <c r="A64">
        <v>63</v>
      </c>
      <c r="B64" t="s">
        <v>157</v>
      </c>
      <c r="C64" t="s">
        <v>26</v>
      </c>
      <c r="D64" t="s">
        <v>100</v>
      </c>
      <c r="H64" t="s">
        <v>37</v>
      </c>
      <c r="I64" t="s">
        <v>28</v>
      </c>
      <c r="J64" t="s">
        <v>37</v>
      </c>
      <c r="K64" t="s">
        <v>28</v>
      </c>
      <c r="O64" s="2">
        <v>0.33333333333333331</v>
      </c>
      <c r="P64" s="2">
        <v>0.70833333333333337</v>
      </c>
      <c r="S64">
        <v>62</v>
      </c>
    </row>
    <row r="65" spans="1:20" x14ac:dyDescent="0.3">
      <c r="A65">
        <v>64</v>
      </c>
      <c r="B65" t="s">
        <v>158</v>
      </c>
      <c r="C65" t="s">
        <v>26</v>
      </c>
      <c r="D65" t="s">
        <v>159</v>
      </c>
      <c r="H65" t="s">
        <v>79</v>
      </c>
      <c r="I65" t="s">
        <v>28</v>
      </c>
      <c r="J65" s="1">
        <v>46240</v>
      </c>
      <c r="K65" t="s">
        <v>28</v>
      </c>
      <c r="O65" s="2">
        <v>0.33333333333333331</v>
      </c>
      <c r="P65" s="2">
        <v>0.70833333333333337</v>
      </c>
    </row>
    <row r="66" spans="1:20" x14ac:dyDescent="0.3">
      <c r="A66">
        <v>65</v>
      </c>
      <c r="B66" t="s">
        <v>160</v>
      </c>
      <c r="C66" t="s">
        <v>26</v>
      </c>
      <c r="D66" t="s">
        <v>92</v>
      </c>
      <c r="H66" t="s">
        <v>79</v>
      </c>
      <c r="I66" t="s">
        <v>28</v>
      </c>
      <c r="J66" t="s">
        <v>82</v>
      </c>
      <c r="K66" t="s">
        <v>28</v>
      </c>
      <c r="O66" s="2">
        <v>0.33333333333333331</v>
      </c>
      <c r="P66" s="2">
        <v>0.70833333333333337</v>
      </c>
      <c r="S66">
        <v>58</v>
      </c>
    </row>
    <row r="67" spans="1:20" x14ac:dyDescent="0.3">
      <c r="A67">
        <v>66</v>
      </c>
      <c r="B67" t="s">
        <v>161</v>
      </c>
      <c r="C67" t="s">
        <v>26</v>
      </c>
      <c r="D67" t="s">
        <v>148</v>
      </c>
      <c r="H67" t="s">
        <v>156</v>
      </c>
      <c r="I67" t="s">
        <v>28</v>
      </c>
      <c r="J67" s="1">
        <v>46118</v>
      </c>
      <c r="K67" t="s">
        <v>28</v>
      </c>
      <c r="O67" s="2">
        <v>0.33333333333333331</v>
      </c>
      <c r="P67" s="2">
        <v>0.70833333333333337</v>
      </c>
      <c r="S67">
        <v>65</v>
      </c>
    </row>
    <row r="68" spans="1:20" x14ac:dyDescent="0.3">
      <c r="A68">
        <v>67</v>
      </c>
      <c r="B68" t="s">
        <v>162</v>
      </c>
      <c r="C68" t="s">
        <v>26</v>
      </c>
      <c r="D68" t="s">
        <v>90</v>
      </c>
      <c r="H68" s="1">
        <v>46148</v>
      </c>
      <c r="I68" t="s">
        <v>28</v>
      </c>
      <c r="J68" s="1">
        <v>46240</v>
      </c>
      <c r="K68" t="s">
        <v>28</v>
      </c>
      <c r="O68" s="2">
        <v>0.33333333333333331</v>
      </c>
      <c r="P68" s="2">
        <v>0.70833333333333337</v>
      </c>
      <c r="S68">
        <v>66</v>
      </c>
    </row>
    <row r="69" spans="1:20" x14ac:dyDescent="0.3">
      <c r="A69">
        <v>68</v>
      </c>
      <c r="B69" t="s">
        <v>163</v>
      </c>
      <c r="C69" t="s">
        <v>26</v>
      </c>
      <c r="D69" t="s">
        <v>27</v>
      </c>
      <c r="H69" t="s">
        <v>75</v>
      </c>
      <c r="I69" t="s">
        <v>28</v>
      </c>
      <c r="J69" t="s">
        <v>164</v>
      </c>
      <c r="K69" t="s">
        <v>28</v>
      </c>
      <c r="O69" s="2">
        <v>0.33333333333333331</v>
      </c>
      <c r="P69" s="2">
        <v>0.70833333333333337</v>
      </c>
    </row>
    <row r="70" spans="1:20" x14ac:dyDescent="0.3">
      <c r="A70">
        <v>69</v>
      </c>
      <c r="B70" t="s">
        <v>165</v>
      </c>
      <c r="C70" t="s">
        <v>26</v>
      </c>
      <c r="D70" t="s">
        <v>33</v>
      </c>
      <c r="H70" t="s">
        <v>75</v>
      </c>
      <c r="I70" t="s">
        <v>28</v>
      </c>
      <c r="J70" t="s">
        <v>72</v>
      </c>
      <c r="K70" t="s">
        <v>28</v>
      </c>
      <c r="O70" s="2">
        <v>0.33333333333333331</v>
      </c>
      <c r="P70" s="2">
        <v>0.70833333333333337</v>
      </c>
      <c r="S70" t="s">
        <v>166</v>
      </c>
    </row>
    <row r="71" spans="1:20" x14ac:dyDescent="0.3">
      <c r="A71">
        <v>70</v>
      </c>
      <c r="B71" t="s">
        <v>167</v>
      </c>
      <c r="C71" t="s">
        <v>26</v>
      </c>
      <c r="D71" t="s">
        <v>84</v>
      </c>
      <c r="H71" t="s">
        <v>108</v>
      </c>
      <c r="I71" t="s">
        <v>28</v>
      </c>
      <c r="J71" t="s">
        <v>168</v>
      </c>
      <c r="K71" t="s">
        <v>28</v>
      </c>
      <c r="O71" s="2">
        <v>0.33333333333333331</v>
      </c>
      <c r="P71" s="2">
        <v>0.70833333333333337</v>
      </c>
      <c r="S71">
        <v>69</v>
      </c>
      <c r="T71" s="48" t="s">
        <v>211</v>
      </c>
    </row>
    <row r="72" spans="1:20" x14ac:dyDescent="0.3">
      <c r="A72">
        <v>71</v>
      </c>
      <c r="B72" t="s">
        <v>169</v>
      </c>
      <c r="C72" t="s">
        <v>26</v>
      </c>
      <c r="D72" t="s">
        <v>100</v>
      </c>
      <c r="H72" t="s">
        <v>164</v>
      </c>
      <c r="I72" t="s">
        <v>28</v>
      </c>
      <c r="J72" t="s">
        <v>164</v>
      </c>
      <c r="K72" t="s">
        <v>28</v>
      </c>
      <c r="O72" s="2">
        <v>0.33333333333333331</v>
      </c>
      <c r="P72" s="2">
        <v>0.70833333333333337</v>
      </c>
      <c r="S72">
        <v>70</v>
      </c>
    </row>
    <row r="73" spans="1:20" x14ac:dyDescent="0.3">
      <c r="A73">
        <v>72</v>
      </c>
      <c r="B73" t="s">
        <v>170</v>
      </c>
      <c r="C73" t="s">
        <v>26</v>
      </c>
      <c r="D73" t="s">
        <v>171</v>
      </c>
      <c r="H73" s="1">
        <v>46271</v>
      </c>
      <c r="I73" t="s">
        <v>28</v>
      </c>
      <c r="J73" t="s">
        <v>172</v>
      </c>
      <c r="K73" t="s">
        <v>28</v>
      </c>
      <c r="O73" s="2">
        <v>0.33333333333333331</v>
      </c>
      <c r="P73" s="2">
        <v>0.70833333333333337</v>
      </c>
    </row>
    <row r="74" spans="1:20" x14ac:dyDescent="0.3">
      <c r="A74">
        <v>73</v>
      </c>
      <c r="B74" t="s">
        <v>173</v>
      </c>
      <c r="C74" t="s">
        <v>26</v>
      </c>
      <c r="D74" t="s">
        <v>90</v>
      </c>
      <c r="H74" s="1">
        <v>46271</v>
      </c>
      <c r="I74" t="s">
        <v>28</v>
      </c>
      <c r="J74" s="1">
        <v>46362</v>
      </c>
      <c r="K74" t="s">
        <v>28</v>
      </c>
      <c r="O74" s="2">
        <v>0.33333333333333331</v>
      </c>
      <c r="P74" s="2">
        <v>0.70833333333333337</v>
      </c>
      <c r="S74">
        <v>67</v>
      </c>
    </row>
    <row r="75" spans="1:20" x14ac:dyDescent="0.3">
      <c r="A75">
        <v>74</v>
      </c>
      <c r="B75" t="s">
        <v>174</v>
      </c>
      <c r="C75" t="s">
        <v>26</v>
      </c>
      <c r="D75" t="s">
        <v>84</v>
      </c>
      <c r="H75" t="s">
        <v>175</v>
      </c>
      <c r="I75" t="s">
        <v>28</v>
      </c>
      <c r="J75" t="s">
        <v>176</v>
      </c>
      <c r="K75" t="s">
        <v>28</v>
      </c>
      <c r="O75" s="2">
        <v>0.33333333333333331</v>
      </c>
      <c r="P75" s="2">
        <v>0.70833333333333337</v>
      </c>
      <c r="S75">
        <v>73</v>
      </c>
    </row>
    <row r="76" spans="1:20" x14ac:dyDescent="0.3">
      <c r="A76">
        <v>75</v>
      </c>
      <c r="B76" t="s">
        <v>177</v>
      </c>
      <c r="C76" t="s">
        <v>26</v>
      </c>
      <c r="D76" t="s">
        <v>84</v>
      </c>
      <c r="H76" t="s">
        <v>178</v>
      </c>
      <c r="I76" t="s">
        <v>28</v>
      </c>
      <c r="J76" t="s">
        <v>172</v>
      </c>
      <c r="K76" t="s">
        <v>28</v>
      </c>
      <c r="O76" s="2">
        <v>0.33333333333333331</v>
      </c>
      <c r="P76" s="2">
        <v>0.70833333333333337</v>
      </c>
      <c r="S76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Project Macherla</vt:lpstr>
      <vt:lpstr>Project Sample (1)</vt:lpstr>
      <vt:lpstr>'Project Macherla'!period_selected</vt:lpstr>
      <vt:lpstr>'Project Macherla'!Print_Titles</vt:lpstr>
      <vt:lpstr>'Project Macherla'!TitleRegion..BO60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Anirudh Kancharla</cp:lastModifiedBy>
  <dcterms:created xsi:type="dcterms:W3CDTF">2026-05-02T13:15:02Z</dcterms:created>
  <dcterms:modified xsi:type="dcterms:W3CDTF">2026-05-04T06:52:12Z</dcterms:modified>
</cp:coreProperties>
</file>